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uliasusser/Desktop/Financial-Statements /output/Financial Statement AAPL/"/>
    </mc:Choice>
  </mc:AlternateContent>
  <xr:revisionPtr revIDLastSave="0" documentId="8_{2E0CD0C6-C0C3-D44F-8EF7-AADF40BFA2D9}" xr6:coauthVersionLast="47" xr6:coauthVersionMax="47" xr10:uidLastSave="{00000000-0000-0000-0000-000000000000}"/>
  <bookViews>
    <workbookView xWindow="420" yWindow="500" windowWidth="26900" windowHeight="15800" xr2:uid="{123E7126-618F-554B-9C59-0DEE9560D86E}"/>
  </bookViews>
  <sheets>
    <sheet name="Data" sheetId="9" r:id="rId1"/>
    <sheet name="model" sheetId="21" r:id="rId2"/>
    <sheet name="capital" sheetId="25" r:id="rId3"/>
    <sheet name="reorganize balance" sheetId="26" r:id="rId4"/>
    <sheet name="financing" sheetId="6" r:id="rId5"/>
    <sheet name="investing" sheetId="4" r:id="rId6"/>
    <sheet name="cashflow from operating" sheetId="2" r:id="rId7"/>
    <sheet name="income" sheetId="22" r:id="rId8"/>
    <sheet name="cashflow" sheetId="23" r:id="rId9"/>
    <sheet name="balance" sheetId="24" r:id="rId10"/>
    <sheet name="reconcile balance and cash(bad)" sheetId="32" r:id="rId11"/>
    <sheet name="analysis" sheetId="18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78" i="9" l="1"/>
  <c r="E178" i="9"/>
  <c r="F178" i="9"/>
  <c r="G178" i="9"/>
  <c r="H178" i="9"/>
  <c r="I178" i="9"/>
  <c r="J178" i="9"/>
  <c r="K178" i="9"/>
  <c r="L178" i="9"/>
  <c r="M178" i="9"/>
  <c r="N178" i="9"/>
  <c r="O178" i="9"/>
  <c r="P178" i="9"/>
  <c r="Q178" i="9"/>
  <c r="R178" i="9"/>
  <c r="S178" i="9"/>
  <c r="T178" i="9"/>
  <c r="U178" i="9"/>
  <c r="V178" i="9"/>
  <c r="W178" i="9"/>
  <c r="X178" i="9"/>
  <c r="Y178" i="9"/>
  <c r="Z178" i="9"/>
  <c r="AA178" i="9"/>
  <c r="AB178" i="9"/>
  <c r="AC178" i="9"/>
  <c r="AD178" i="9"/>
  <c r="C178" i="9"/>
  <c r="D158" i="9"/>
  <c r="E158" i="9"/>
  <c r="F158" i="9"/>
  <c r="F169" i="9" s="1"/>
  <c r="G158" i="9"/>
  <c r="H158" i="9"/>
  <c r="I158" i="9"/>
  <c r="J158" i="9"/>
  <c r="K158" i="9"/>
  <c r="L158" i="9"/>
  <c r="M158" i="9"/>
  <c r="N158" i="9"/>
  <c r="O158" i="9"/>
  <c r="P158" i="9"/>
  <c r="Q158" i="9"/>
  <c r="R158" i="9"/>
  <c r="S158" i="9"/>
  <c r="T158" i="9"/>
  <c r="U158" i="9"/>
  <c r="V158" i="9"/>
  <c r="W158" i="9"/>
  <c r="X158" i="9"/>
  <c r="Y158" i="9"/>
  <c r="Z158" i="9"/>
  <c r="AA158" i="9"/>
  <c r="AB158" i="9"/>
  <c r="AC158" i="9"/>
  <c r="AD158" i="9"/>
  <c r="C158" i="9"/>
  <c r="C164" i="9"/>
  <c r="D127" i="9"/>
  <c r="E127" i="9"/>
  <c r="F127" i="9"/>
  <c r="G127" i="9"/>
  <c r="H127" i="9"/>
  <c r="I127" i="9"/>
  <c r="J127" i="9"/>
  <c r="K127" i="9"/>
  <c r="L127" i="9"/>
  <c r="M127" i="9"/>
  <c r="N127" i="9"/>
  <c r="O127" i="9"/>
  <c r="P127" i="9"/>
  <c r="Q127" i="9"/>
  <c r="R127" i="9"/>
  <c r="S127" i="9"/>
  <c r="T127" i="9"/>
  <c r="U127" i="9"/>
  <c r="V127" i="9"/>
  <c r="W127" i="9"/>
  <c r="X127" i="9"/>
  <c r="Y127" i="9"/>
  <c r="Z127" i="9"/>
  <c r="AA127" i="9"/>
  <c r="AB127" i="9"/>
  <c r="AC127" i="9"/>
  <c r="AD127" i="9"/>
  <c r="D128" i="9"/>
  <c r="E128" i="9"/>
  <c r="F128" i="9"/>
  <c r="G128" i="9"/>
  <c r="H128" i="9"/>
  <c r="I128" i="9"/>
  <c r="J128" i="9"/>
  <c r="K128" i="9"/>
  <c r="L128" i="9"/>
  <c r="M128" i="9"/>
  <c r="N128" i="9"/>
  <c r="O128" i="9"/>
  <c r="P128" i="9"/>
  <c r="Q128" i="9"/>
  <c r="R128" i="9"/>
  <c r="S128" i="9"/>
  <c r="T128" i="9"/>
  <c r="U128" i="9"/>
  <c r="V128" i="9"/>
  <c r="W128" i="9"/>
  <c r="X128" i="9"/>
  <c r="Y128" i="9"/>
  <c r="Z128" i="9"/>
  <c r="AA128" i="9"/>
  <c r="AB128" i="9"/>
  <c r="AC128" i="9"/>
  <c r="AD128" i="9"/>
  <c r="AF128" i="9" s="1"/>
  <c r="C127" i="9"/>
  <c r="C128" i="9"/>
  <c r="D138" i="21"/>
  <c r="E138" i="21"/>
  <c r="F138" i="21"/>
  <c r="G138" i="21"/>
  <c r="H138" i="21"/>
  <c r="I138" i="21"/>
  <c r="J138" i="21"/>
  <c r="K138" i="21"/>
  <c r="L138" i="21"/>
  <c r="M138" i="21"/>
  <c r="P138" i="21"/>
  <c r="Q138" i="21"/>
  <c r="R138" i="21"/>
  <c r="S138" i="21"/>
  <c r="T138" i="21"/>
  <c r="U138" i="21"/>
  <c r="V138" i="21"/>
  <c r="W138" i="21"/>
  <c r="X138" i="21"/>
  <c r="Y138" i="21"/>
  <c r="Z138" i="21"/>
  <c r="AA138" i="21"/>
  <c r="AB138" i="21"/>
  <c r="AC138" i="21"/>
  <c r="AD138" i="21"/>
  <c r="AE138" i="21"/>
  <c r="AF138" i="21"/>
  <c r="AG138" i="21"/>
  <c r="AH138" i="21"/>
  <c r="AI138" i="21"/>
  <c r="D139" i="21"/>
  <c r="E139" i="21"/>
  <c r="F139" i="21"/>
  <c r="G139" i="21"/>
  <c r="H139" i="21"/>
  <c r="I139" i="21"/>
  <c r="J139" i="21"/>
  <c r="K139" i="21"/>
  <c r="L139" i="21"/>
  <c r="M139" i="21"/>
  <c r="P139" i="21"/>
  <c r="Q139" i="21"/>
  <c r="R139" i="21"/>
  <c r="S139" i="21"/>
  <c r="T139" i="21"/>
  <c r="U139" i="21"/>
  <c r="V139" i="21"/>
  <c r="W139" i="21"/>
  <c r="X139" i="21"/>
  <c r="Y139" i="21"/>
  <c r="Z139" i="21"/>
  <c r="AA139" i="21"/>
  <c r="AB139" i="21"/>
  <c r="AC139" i="21"/>
  <c r="AD139" i="21"/>
  <c r="AE139" i="21"/>
  <c r="AF139" i="21"/>
  <c r="AG139" i="21"/>
  <c r="AH139" i="21"/>
  <c r="AI139" i="21"/>
  <c r="C139" i="21"/>
  <c r="C138" i="21"/>
  <c r="D4" i="21"/>
  <c r="D164" i="9"/>
  <c r="D165" i="9" s="1"/>
  <c r="E164" i="9"/>
  <c r="G164" i="9"/>
  <c r="G165" i="9" s="1"/>
  <c r="H164" i="9"/>
  <c r="H169" i="9" s="1"/>
  <c r="I164" i="9"/>
  <c r="J164" i="9"/>
  <c r="J169" i="9" s="1"/>
  <c r="K164" i="9"/>
  <c r="K165" i="9" s="1"/>
  <c r="L164" i="9"/>
  <c r="M164" i="9"/>
  <c r="N164" i="9"/>
  <c r="O164" i="9"/>
  <c r="P164" i="9"/>
  <c r="P169" i="9" s="1"/>
  <c r="Q164" i="9"/>
  <c r="Q169" i="9" s="1"/>
  <c r="R164" i="9"/>
  <c r="R169" i="9" s="1"/>
  <c r="S164" i="9"/>
  <c r="T164" i="9"/>
  <c r="U164" i="9"/>
  <c r="V164" i="9"/>
  <c r="W164" i="9"/>
  <c r="X164" i="9"/>
  <c r="X169" i="9" s="1"/>
  <c r="Y164" i="9"/>
  <c r="D134" i="9"/>
  <c r="D166" i="9" s="1"/>
  <c r="C219" i="9"/>
  <c r="D219" i="9"/>
  <c r="E219" i="9"/>
  <c r="F219" i="9"/>
  <c r="G219" i="9"/>
  <c r="H219" i="9"/>
  <c r="I219" i="9"/>
  <c r="J219" i="9"/>
  <c r="K219" i="9"/>
  <c r="L219" i="9"/>
  <c r="M219" i="9"/>
  <c r="N219" i="9"/>
  <c r="O219" i="9"/>
  <c r="P219" i="9"/>
  <c r="Q219" i="9"/>
  <c r="R219" i="9"/>
  <c r="S219" i="9"/>
  <c r="T219" i="9"/>
  <c r="U219" i="9"/>
  <c r="V219" i="9"/>
  <c r="W219" i="9"/>
  <c r="X219" i="9"/>
  <c r="Y219" i="9"/>
  <c r="Z219" i="9"/>
  <c r="Z164" i="9" s="1"/>
  <c r="Z169" i="9" s="1"/>
  <c r="AA219" i="9"/>
  <c r="AA164" i="9" s="1"/>
  <c r="AA165" i="9" s="1"/>
  <c r="AB219" i="9"/>
  <c r="AB164" i="9" s="1"/>
  <c r="AC219" i="9"/>
  <c r="AC164" i="9" s="1"/>
  <c r="AD219" i="9"/>
  <c r="AD164" i="9" s="1"/>
  <c r="D7" i="32"/>
  <c r="D8" i="32"/>
  <c r="D9" i="32"/>
  <c r="D10" i="32"/>
  <c r="D11" i="32"/>
  <c r="D12" i="32"/>
  <c r="D13" i="32"/>
  <c r="D14" i="32"/>
  <c r="D15" i="32"/>
  <c r="D16" i="32"/>
  <c r="D17" i="32"/>
  <c r="D18" i="32"/>
  <c r="D19" i="32"/>
  <c r="D20" i="32"/>
  <c r="D24" i="32"/>
  <c r="D25" i="32"/>
  <c r="D26" i="32"/>
  <c r="D27" i="32"/>
  <c r="D28" i="32"/>
  <c r="D29" i="32"/>
  <c r="D30" i="32"/>
  <c r="D31" i="32"/>
  <c r="D32" i="32"/>
  <c r="D33" i="32"/>
  <c r="D34" i="32"/>
  <c r="D35" i="32"/>
  <c r="D50" i="32"/>
  <c r="D51" i="32"/>
  <c r="E51" i="32"/>
  <c r="D52" i="32"/>
  <c r="E52" i="32"/>
  <c r="D53" i="32"/>
  <c r="E53" i="32"/>
  <c r="D54" i="32"/>
  <c r="E54" i="32"/>
  <c r="D55" i="32"/>
  <c r="B56" i="32"/>
  <c r="B66" i="32" s="1"/>
  <c r="C56" i="32"/>
  <c r="C66" i="32" s="1"/>
  <c r="C92" i="32" s="1"/>
  <c r="D57" i="32"/>
  <c r="D58" i="32"/>
  <c r="D59" i="32"/>
  <c r="D60" i="32"/>
  <c r="D61" i="32"/>
  <c r="D62" i="32"/>
  <c r="D63" i="32"/>
  <c r="C64" i="32"/>
  <c r="D64" i="32" s="1"/>
  <c r="D65" i="32"/>
  <c r="D67" i="32"/>
  <c r="D68" i="32"/>
  <c r="H68" i="32"/>
  <c r="I68" i="32"/>
  <c r="D69" i="32"/>
  <c r="D70" i="32"/>
  <c r="D71" i="32"/>
  <c r="D72" i="32"/>
  <c r="D73" i="32"/>
  <c r="D74" i="32"/>
  <c r="B75" i="32"/>
  <c r="D75" i="32" s="1"/>
  <c r="C75" i="32"/>
  <c r="D76" i="32"/>
  <c r="D77" i="32"/>
  <c r="D78" i="32"/>
  <c r="D79" i="32"/>
  <c r="D80" i="32"/>
  <c r="D81" i="32"/>
  <c r="B82" i="32"/>
  <c r="C82" i="32"/>
  <c r="C85" i="32" s="1"/>
  <c r="D82" i="32"/>
  <c r="D83" i="32"/>
  <c r="D84" i="32"/>
  <c r="H84" i="32"/>
  <c r="I84" i="32"/>
  <c r="B85" i="32"/>
  <c r="D86" i="32"/>
  <c r="D88" i="32"/>
  <c r="D89" i="32"/>
  <c r="D90" i="32"/>
  <c r="D91" i="32"/>
  <c r="H101" i="32"/>
  <c r="E50" i="32" s="1"/>
  <c r="I101" i="32"/>
  <c r="D125" i="32"/>
  <c r="D126" i="32"/>
  <c r="B127" i="32"/>
  <c r="C127" i="32"/>
  <c r="D127" i="32"/>
  <c r="E127" i="32"/>
  <c r="D128" i="32"/>
  <c r="E128" i="32"/>
  <c r="D130" i="32"/>
  <c r="E130" i="32"/>
  <c r="D131" i="32"/>
  <c r="E131" i="32"/>
  <c r="D133" i="32"/>
  <c r="E133" i="32"/>
  <c r="E135" i="32"/>
  <c r="E137" i="32" s="1"/>
  <c r="E145" i="32" s="1"/>
  <c r="D136" i="32"/>
  <c r="E136" i="32"/>
  <c r="D137" i="32"/>
  <c r="D139" i="32"/>
  <c r="D140" i="32"/>
  <c r="B141" i="32"/>
  <c r="B143" i="32" s="1"/>
  <c r="C141" i="32"/>
  <c r="C143" i="32" s="1"/>
  <c r="D141" i="32"/>
  <c r="D143" i="32" s="1"/>
  <c r="D142" i="32"/>
  <c r="H142" i="32"/>
  <c r="E143" i="32"/>
  <c r="D149" i="32"/>
  <c r="D150" i="32"/>
  <c r="B151" i="32"/>
  <c r="C151" i="32"/>
  <c r="C153" i="32" s="1"/>
  <c r="C166" i="32" s="1"/>
  <c r="D151" i="32"/>
  <c r="E151" i="32"/>
  <c r="D152" i="32"/>
  <c r="E152" i="32"/>
  <c r="B153" i="32"/>
  <c r="H153" i="32"/>
  <c r="D155" i="32"/>
  <c r="E155" i="32"/>
  <c r="D157" i="32"/>
  <c r="D158" i="32"/>
  <c r="B159" i="32"/>
  <c r="D159" i="32" s="1"/>
  <c r="C159" i="32"/>
  <c r="E159" i="32"/>
  <c r="D162" i="32"/>
  <c r="D164" i="32" s="1"/>
  <c r="D163" i="32"/>
  <c r="B164" i="32"/>
  <c r="C164" i="32"/>
  <c r="E164" i="32"/>
  <c r="H166" i="32"/>
  <c r="B36" i="26"/>
  <c r="AA209" i="9"/>
  <c r="G92" i="9"/>
  <c r="G123" i="9" s="1"/>
  <c r="H92" i="9"/>
  <c r="H123" i="9" s="1"/>
  <c r="I92" i="9"/>
  <c r="I123" i="9" s="1"/>
  <c r="J92" i="9"/>
  <c r="J123" i="9" s="1"/>
  <c r="K92" i="9"/>
  <c r="K123" i="9" s="1"/>
  <c r="L92" i="9"/>
  <c r="L123" i="9" s="1"/>
  <c r="M92" i="9"/>
  <c r="M123" i="9" s="1"/>
  <c r="N92" i="9"/>
  <c r="N123" i="9" s="1"/>
  <c r="O92" i="9"/>
  <c r="O123" i="9" s="1"/>
  <c r="P92" i="9"/>
  <c r="P123" i="9" s="1"/>
  <c r="Q92" i="9"/>
  <c r="Q123" i="9" s="1"/>
  <c r="R92" i="9"/>
  <c r="R123" i="9" s="1"/>
  <c r="S92" i="9"/>
  <c r="S123" i="9" s="1"/>
  <c r="T92" i="9"/>
  <c r="T123" i="9" s="1"/>
  <c r="U92" i="9"/>
  <c r="U123" i="9" s="1"/>
  <c r="V92" i="9"/>
  <c r="V123" i="9" s="1"/>
  <c r="W92" i="9"/>
  <c r="W123" i="9" s="1"/>
  <c r="X92" i="9"/>
  <c r="X123" i="9" s="1"/>
  <c r="Y92" i="9"/>
  <c r="Y123" i="9" s="1"/>
  <c r="Z92" i="9"/>
  <c r="Z123" i="9" s="1"/>
  <c r="AA92" i="9"/>
  <c r="AA123" i="9" s="1"/>
  <c r="AB92" i="9"/>
  <c r="AB123" i="9" s="1"/>
  <c r="AC92" i="9"/>
  <c r="AC123" i="9" s="1"/>
  <c r="AD92" i="9"/>
  <c r="AD123" i="9" s="1"/>
  <c r="D92" i="9"/>
  <c r="D123" i="9" s="1"/>
  <c r="E92" i="9"/>
  <c r="E123" i="9" s="1"/>
  <c r="F92" i="9"/>
  <c r="F123" i="9" s="1"/>
  <c r="C92" i="9"/>
  <c r="C123" i="9" s="1"/>
  <c r="AD212" i="9"/>
  <c r="AD214" i="9" s="1"/>
  <c r="AC212" i="9"/>
  <c r="AC214" i="9" s="1"/>
  <c r="AB212" i="9"/>
  <c r="AB214" i="9" s="1"/>
  <c r="AA212" i="9"/>
  <c r="AA214" i="9" s="1"/>
  <c r="Z212" i="9"/>
  <c r="Z214" i="9" s="1"/>
  <c r="Y212" i="9"/>
  <c r="Y214" i="9" s="1"/>
  <c r="X212" i="9"/>
  <c r="X214" i="9" s="1"/>
  <c r="W212" i="9"/>
  <c r="W214" i="9" s="1"/>
  <c r="V212" i="9"/>
  <c r="V214" i="9" s="1"/>
  <c r="U212" i="9"/>
  <c r="U214" i="9" s="1"/>
  <c r="T212" i="9"/>
  <c r="T214" i="9" s="1"/>
  <c r="S212" i="9"/>
  <c r="S214" i="9" s="1"/>
  <c r="R212" i="9"/>
  <c r="R214" i="9" s="1"/>
  <c r="Q212" i="9"/>
  <c r="Q214" i="9" s="1"/>
  <c r="P212" i="9"/>
  <c r="P214" i="9" s="1"/>
  <c r="O212" i="9"/>
  <c r="O214" i="9" s="1"/>
  <c r="N212" i="9"/>
  <c r="N214" i="9" s="1"/>
  <c r="M212" i="9"/>
  <c r="M214" i="9" s="1"/>
  <c r="L212" i="9"/>
  <c r="L214" i="9" s="1"/>
  <c r="K212" i="9"/>
  <c r="K214" i="9" s="1"/>
  <c r="J212" i="9"/>
  <c r="J214" i="9" s="1"/>
  <c r="I212" i="9"/>
  <c r="I214" i="9" s="1"/>
  <c r="H212" i="9"/>
  <c r="H214" i="9" s="1"/>
  <c r="G212" i="9"/>
  <c r="G214" i="9" s="1"/>
  <c r="F212" i="9"/>
  <c r="F214" i="9" s="1"/>
  <c r="E212" i="9"/>
  <c r="E214" i="9" s="1"/>
  <c r="D212" i="9"/>
  <c r="D214" i="9" s="1"/>
  <c r="C212" i="9"/>
  <c r="C214" i="9" s="1"/>
  <c r="AA197" i="9"/>
  <c r="Z197" i="9"/>
  <c r="Y197" i="9"/>
  <c r="X197" i="9"/>
  <c r="W197" i="9"/>
  <c r="V197" i="9"/>
  <c r="U197" i="9"/>
  <c r="T197" i="9"/>
  <c r="S197" i="9"/>
  <c r="R197" i="9"/>
  <c r="Q197" i="9"/>
  <c r="P197" i="9"/>
  <c r="O197" i="9"/>
  <c r="N197" i="9"/>
  <c r="M197" i="9"/>
  <c r="L197" i="9"/>
  <c r="K197" i="9"/>
  <c r="J197" i="9"/>
  <c r="I197" i="9"/>
  <c r="H197" i="9"/>
  <c r="G197" i="9"/>
  <c r="F197" i="9"/>
  <c r="E197" i="9"/>
  <c r="D197" i="9"/>
  <c r="C197" i="9"/>
  <c r="AD190" i="9"/>
  <c r="AC190" i="9"/>
  <c r="AB190" i="9"/>
  <c r="AA190" i="9"/>
  <c r="Z190" i="9"/>
  <c r="Y190" i="9"/>
  <c r="X190" i="9"/>
  <c r="W190" i="9"/>
  <c r="V190" i="9"/>
  <c r="U190" i="9"/>
  <c r="T190" i="9"/>
  <c r="S190" i="9"/>
  <c r="R190" i="9"/>
  <c r="Q190" i="9"/>
  <c r="P190" i="9"/>
  <c r="O190" i="9"/>
  <c r="N190" i="9"/>
  <c r="M190" i="9"/>
  <c r="L190" i="9"/>
  <c r="K190" i="9"/>
  <c r="J190" i="9"/>
  <c r="I190" i="9"/>
  <c r="H190" i="9"/>
  <c r="G190" i="9"/>
  <c r="F190" i="9"/>
  <c r="E190" i="9"/>
  <c r="D190" i="9"/>
  <c r="C190" i="9"/>
  <c r="AD184" i="9"/>
  <c r="AD186" i="9" s="1"/>
  <c r="AC184" i="9"/>
  <c r="AC186" i="9" s="1"/>
  <c r="AB184" i="9"/>
  <c r="AB186" i="9" s="1"/>
  <c r="AA184" i="9"/>
  <c r="AA186" i="9" s="1"/>
  <c r="Z184" i="9"/>
  <c r="Z186" i="9" s="1"/>
  <c r="Y184" i="9"/>
  <c r="Y186" i="9" s="1"/>
  <c r="X184" i="9"/>
  <c r="X186" i="9" s="1"/>
  <c r="W184" i="9"/>
  <c r="W186" i="9" s="1"/>
  <c r="V184" i="9"/>
  <c r="V186" i="9" s="1"/>
  <c r="U184" i="9"/>
  <c r="U186" i="9" s="1"/>
  <c r="T184" i="9"/>
  <c r="T186" i="9" s="1"/>
  <c r="S184" i="9"/>
  <c r="S186" i="9" s="1"/>
  <c r="R184" i="9"/>
  <c r="R186" i="9" s="1"/>
  <c r="Q184" i="9"/>
  <c r="Q186" i="9" s="1"/>
  <c r="P184" i="9"/>
  <c r="P186" i="9" s="1"/>
  <c r="O184" i="9"/>
  <c r="O186" i="9" s="1"/>
  <c r="N184" i="9"/>
  <c r="N186" i="9" s="1"/>
  <c r="M184" i="9"/>
  <c r="M186" i="9" s="1"/>
  <c r="L184" i="9"/>
  <c r="L186" i="9" s="1"/>
  <c r="K184" i="9"/>
  <c r="K186" i="9" s="1"/>
  <c r="J184" i="9"/>
  <c r="J186" i="9" s="1"/>
  <c r="I184" i="9"/>
  <c r="I186" i="9" s="1"/>
  <c r="H184" i="9"/>
  <c r="H186" i="9" s="1"/>
  <c r="G184" i="9"/>
  <c r="G186" i="9" s="1"/>
  <c r="F184" i="9"/>
  <c r="F186" i="9" s="1"/>
  <c r="E184" i="9"/>
  <c r="E186" i="9" s="1"/>
  <c r="D184" i="9"/>
  <c r="D186" i="9" s="1"/>
  <c r="C184" i="9"/>
  <c r="C186" i="9" s="1"/>
  <c r="B6" i="26"/>
  <c r="C6" i="26"/>
  <c r="D6" i="26"/>
  <c r="E6" i="26"/>
  <c r="F6" i="26"/>
  <c r="F8" i="26" s="1"/>
  <c r="F28" i="26" s="1"/>
  <c r="G6" i="26"/>
  <c r="G8" i="26" s="1"/>
  <c r="G28" i="26" s="1"/>
  <c r="H6" i="26"/>
  <c r="H8" i="26" s="1"/>
  <c r="H28" i="26" s="1"/>
  <c r="I6" i="26"/>
  <c r="I8" i="26" s="1"/>
  <c r="I28" i="26" s="1"/>
  <c r="J6" i="26"/>
  <c r="K6" i="26"/>
  <c r="L6" i="26"/>
  <c r="M6" i="26"/>
  <c r="N6" i="26"/>
  <c r="N8" i="26" s="1"/>
  <c r="N28" i="26" s="1"/>
  <c r="O6" i="26"/>
  <c r="O8" i="26" s="1"/>
  <c r="O28" i="26" s="1"/>
  <c r="P6" i="26"/>
  <c r="P8" i="26" s="1"/>
  <c r="P28" i="26" s="1"/>
  <c r="Q6" i="26"/>
  <c r="Q8" i="26" s="1"/>
  <c r="Q28" i="26" s="1"/>
  <c r="R6" i="26"/>
  <c r="S6" i="26"/>
  <c r="T6" i="26"/>
  <c r="U6" i="26"/>
  <c r="V6" i="26"/>
  <c r="V8" i="26" s="1"/>
  <c r="V28" i="26" s="1"/>
  <c r="W6" i="26"/>
  <c r="W8" i="26" s="1"/>
  <c r="W28" i="26" s="1"/>
  <c r="X6" i="26"/>
  <c r="X8" i="26" s="1"/>
  <c r="X28" i="26" s="1"/>
  <c r="Y6" i="26"/>
  <c r="Y8" i="26" s="1"/>
  <c r="Y28" i="26" s="1"/>
  <c r="Z6" i="26"/>
  <c r="AA6" i="26"/>
  <c r="AB6" i="26"/>
  <c r="AC6" i="26"/>
  <c r="B8" i="26"/>
  <c r="C8" i="26"/>
  <c r="D8" i="26"/>
  <c r="E8" i="26"/>
  <c r="E28" i="26" s="1"/>
  <c r="J8" i="26"/>
  <c r="K8" i="26"/>
  <c r="L8" i="26"/>
  <c r="M8" i="26"/>
  <c r="M28" i="26" s="1"/>
  <c r="R8" i="26"/>
  <c r="S8" i="26"/>
  <c r="T8" i="26"/>
  <c r="U8" i="26"/>
  <c r="U28" i="26" s="1"/>
  <c r="Z8" i="26"/>
  <c r="AA8" i="26"/>
  <c r="AB8" i="26"/>
  <c r="AC8" i="26"/>
  <c r="AC28" i="26" s="1"/>
  <c r="B12" i="26"/>
  <c r="C12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P12" i="26"/>
  <c r="Q12" i="26"/>
  <c r="R12" i="26"/>
  <c r="S12" i="26"/>
  <c r="T12" i="26"/>
  <c r="U12" i="26"/>
  <c r="V12" i="26"/>
  <c r="W12" i="26"/>
  <c r="X12" i="26"/>
  <c r="Y12" i="26"/>
  <c r="Z12" i="26"/>
  <c r="AA12" i="26"/>
  <c r="AB12" i="26"/>
  <c r="AC12" i="26"/>
  <c r="B19" i="26"/>
  <c r="C19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P19" i="26"/>
  <c r="Q19" i="26"/>
  <c r="R19" i="26"/>
  <c r="S19" i="26"/>
  <c r="T19" i="26"/>
  <c r="U19" i="26"/>
  <c r="V19" i="26"/>
  <c r="W19" i="26"/>
  <c r="X19" i="26"/>
  <c r="Y19" i="26"/>
  <c r="Z19" i="26"/>
  <c r="B28" i="26"/>
  <c r="C28" i="26"/>
  <c r="D28" i="26"/>
  <c r="J28" i="26"/>
  <c r="K28" i="26"/>
  <c r="L28" i="26"/>
  <c r="R28" i="26"/>
  <c r="S28" i="26"/>
  <c r="T28" i="26"/>
  <c r="Z28" i="26"/>
  <c r="AA28" i="26"/>
  <c r="AB28" i="26"/>
  <c r="B34" i="26"/>
  <c r="C34" i="26"/>
  <c r="D34" i="26"/>
  <c r="E34" i="26"/>
  <c r="E36" i="26" s="1"/>
  <c r="E47" i="26" s="1"/>
  <c r="F34" i="26"/>
  <c r="F36" i="26" s="1"/>
  <c r="F47" i="26" s="1"/>
  <c r="G34" i="26"/>
  <c r="G36" i="26" s="1"/>
  <c r="G47" i="26" s="1"/>
  <c r="H34" i="26"/>
  <c r="H36" i="26" s="1"/>
  <c r="H47" i="26" s="1"/>
  <c r="I34" i="26"/>
  <c r="J34" i="26"/>
  <c r="K34" i="26"/>
  <c r="L34" i="26"/>
  <c r="M34" i="26"/>
  <c r="M36" i="26" s="1"/>
  <c r="M47" i="26" s="1"/>
  <c r="N34" i="26"/>
  <c r="N36" i="26" s="1"/>
  <c r="N47" i="26" s="1"/>
  <c r="O34" i="26"/>
  <c r="O36" i="26" s="1"/>
  <c r="O47" i="26" s="1"/>
  <c r="P34" i="26"/>
  <c r="P36" i="26" s="1"/>
  <c r="P47" i="26" s="1"/>
  <c r="Q34" i="26"/>
  <c r="R34" i="26"/>
  <c r="S34" i="26"/>
  <c r="T34" i="26"/>
  <c r="U34" i="26"/>
  <c r="U36" i="26" s="1"/>
  <c r="U47" i="26" s="1"/>
  <c r="V34" i="26"/>
  <c r="V36" i="26" s="1"/>
  <c r="V47" i="26" s="1"/>
  <c r="W34" i="26"/>
  <c r="W36" i="26" s="1"/>
  <c r="W47" i="26" s="1"/>
  <c r="X34" i="26"/>
  <c r="X36" i="26" s="1"/>
  <c r="X47" i="26" s="1"/>
  <c r="Y34" i="26"/>
  <c r="Z34" i="26"/>
  <c r="AA34" i="26"/>
  <c r="AB34" i="26"/>
  <c r="AC34" i="26"/>
  <c r="AC36" i="26" s="1"/>
  <c r="AC47" i="26" s="1"/>
  <c r="C36" i="26"/>
  <c r="D36" i="26"/>
  <c r="I36" i="26"/>
  <c r="J36" i="26"/>
  <c r="J47" i="26" s="1"/>
  <c r="K36" i="26"/>
  <c r="K47" i="26" s="1"/>
  <c r="L36" i="26"/>
  <c r="L47" i="26" s="1"/>
  <c r="Q36" i="26"/>
  <c r="R36" i="26"/>
  <c r="S36" i="26"/>
  <c r="T36" i="26"/>
  <c r="Y36" i="26"/>
  <c r="Z36" i="26"/>
  <c r="Z47" i="26" s="1"/>
  <c r="AA36" i="26"/>
  <c r="AA47" i="26" s="1"/>
  <c r="AB36" i="26"/>
  <c r="AB47" i="26" s="1"/>
  <c r="B41" i="26"/>
  <c r="C41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P41" i="26"/>
  <c r="Q41" i="26"/>
  <c r="R41" i="26"/>
  <c r="S41" i="26"/>
  <c r="T41" i="26"/>
  <c r="U41" i="26"/>
  <c r="V41" i="26"/>
  <c r="W41" i="26"/>
  <c r="X41" i="26"/>
  <c r="Y41" i="26"/>
  <c r="Z41" i="26"/>
  <c r="AA41" i="26"/>
  <c r="AB41" i="26"/>
  <c r="AC41" i="26"/>
  <c r="B47" i="26"/>
  <c r="C47" i="26"/>
  <c r="D47" i="26"/>
  <c r="I47" i="26"/>
  <c r="Q47" i="26"/>
  <c r="R47" i="26"/>
  <c r="S47" i="26"/>
  <c r="T47" i="26"/>
  <c r="Y47" i="26"/>
  <c r="L132" i="21"/>
  <c r="L135" i="21"/>
  <c r="L136" i="21"/>
  <c r="L140" i="21"/>
  <c r="L143" i="21"/>
  <c r="L144" i="21"/>
  <c r="L145" i="21"/>
  <c r="L146" i="21"/>
  <c r="C35" i="25"/>
  <c r="L120" i="21"/>
  <c r="H113" i="21"/>
  <c r="L109" i="21"/>
  <c r="L113" i="21" s="1"/>
  <c r="P103" i="21"/>
  <c r="P134" i="21" s="1"/>
  <c r="Q103" i="21"/>
  <c r="Q134" i="21" s="1"/>
  <c r="R103" i="21"/>
  <c r="R134" i="21" s="1"/>
  <c r="S103" i="21"/>
  <c r="S134" i="21" s="1"/>
  <c r="T103" i="21"/>
  <c r="U103" i="21"/>
  <c r="V103" i="21"/>
  <c r="W103" i="21"/>
  <c r="W134" i="21" s="1"/>
  <c r="X103" i="21"/>
  <c r="X134" i="21" s="1"/>
  <c r="Y103" i="21"/>
  <c r="Y134" i="21" s="1"/>
  <c r="Z103" i="21"/>
  <c r="AA103" i="21"/>
  <c r="AA134" i="21" s="1"/>
  <c r="AB103" i="21"/>
  <c r="AB134" i="21" s="1"/>
  <c r="AC103" i="21"/>
  <c r="AD103" i="21"/>
  <c r="AE103" i="21"/>
  <c r="AE134" i="21" s="1"/>
  <c r="AF103" i="21"/>
  <c r="AF134" i="21" s="1"/>
  <c r="AG103" i="21"/>
  <c r="AG134" i="21" s="1"/>
  <c r="AH103" i="21"/>
  <c r="AI103" i="21"/>
  <c r="D103" i="21"/>
  <c r="E103" i="21"/>
  <c r="F103" i="21"/>
  <c r="G103" i="21"/>
  <c r="H103" i="21"/>
  <c r="I103" i="21"/>
  <c r="I134" i="21" s="1"/>
  <c r="J103" i="21"/>
  <c r="J134" i="21" s="1"/>
  <c r="C103" i="21"/>
  <c r="C134" i="21" s="1"/>
  <c r="L97" i="21"/>
  <c r="L103" i="21" s="1"/>
  <c r="L134" i="21" s="1"/>
  <c r="P41" i="21"/>
  <c r="Q41" i="21"/>
  <c r="R41" i="21"/>
  <c r="S41" i="21"/>
  <c r="P65" i="21"/>
  <c r="P53" i="21" s="1"/>
  <c r="Q65" i="21"/>
  <c r="Q53" i="21" s="1"/>
  <c r="R65" i="21"/>
  <c r="R53" i="21" s="1"/>
  <c r="S65" i="21"/>
  <c r="S55" i="21" s="1"/>
  <c r="P68" i="21"/>
  <c r="Q68" i="21"/>
  <c r="R68" i="21"/>
  <c r="S68" i="21"/>
  <c r="P71" i="21"/>
  <c r="Q71" i="21"/>
  <c r="R71" i="21"/>
  <c r="S71" i="21"/>
  <c r="P72" i="21"/>
  <c r="Q72" i="21"/>
  <c r="R72" i="21"/>
  <c r="S72" i="21"/>
  <c r="P74" i="21"/>
  <c r="Q74" i="21"/>
  <c r="R74" i="21"/>
  <c r="S74" i="21"/>
  <c r="P78" i="21"/>
  <c r="P73" i="21" s="1"/>
  <c r="Q78" i="21"/>
  <c r="Q73" i="21" s="1"/>
  <c r="R78" i="21"/>
  <c r="R73" i="21" s="1"/>
  <c r="S78" i="21"/>
  <c r="S73" i="21" s="1"/>
  <c r="P83" i="21"/>
  <c r="Q83" i="21"/>
  <c r="R83" i="21"/>
  <c r="S83" i="21"/>
  <c r="P113" i="21"/>
  <c r="Q113" i="21"/>
  <c r="R113" i="21"/>
  <c r="S113" i="21"/>
  <c r="P120" i="21"/>
  <c r="Q120" i="21"/>
  <c r="R120" i="21"/>
  <c r="S120" i="21"/>
  <c r="P126" i="21"/>
  <c r="Q126" i="21"/>
  <c r="R126" i="21"/>
  <c r="S126" i="21"/>
  <c r="P128" i="21"/>
  <c r="Q128" i="21"/>
  <c r="R128" i="21"/>
  <c r="S128" i="21"/>
  <c r="P130" i="21"/>
  <c r="Q130" i="21"/>
  <c r="R130" i="21"/>
  <c r="S130" i="21"/>
  <c r="P132" i="21"/>
  <c r="Q132" i="21"/>
  <c r="R132" i="21"/>
  <c r="S132" i="21"/>
  <c r="P135" i="21"/>
  <c r="Q135" i="21"/>
  <c r="R135" i="21"/>
  <c r="S135" i="21"/>
  <c r="P136" i="21"/>
  <c r="Q136" i="21"/>
  <c r="R136" i="21"/>
  <c r="S136" i="21"/>
  <c r="P137" i="21"/>
  <c r="Q137" i="21"/>
  <c r="R137" i="21"/>
  <c r="S137" i="21"/>
  <c r="P140" i="21"/>
  <c r="Q140" i="21"/>
  <c r="R140" i="21"/>
  <c r="S140" i="21"/>
  <c r="P141" i="21"/>
  <c r="Q141" i="21"/>
  <c r="R141" i="21"/>
  <c r="S141" i="21"/>
  <c r="P143" i="21"/>
  <c r="Q143" i="21"/>
  <c r="R143" i="21"/>
  <c r="S143" i="21"/>
  <c r="P144" i="21"/>
  <c r="Q144" i="21"/>
  <c r="R144" i="21"/>
  <c r="S144" i="21"/>
  <c r="P145" i="21"/>
  <c r="Q145" i="21"/>
  <c r="R145" i="21"/>
  <c r="S145" i="21"/>
  <c r="P146" i="21"/>
  <c r="Q146" i="21"/>
  <c r="R146" i="21"/>
  <c r="S146" i="21"/>
  <c r="T4" i="21"/>
  <c r="U4" i="21"/>
  <c r="V4" i="21"/>
  <c r="W4" i="21"/>
  <c r="T5" i="21"/>
  <c r="U5" i="21"/>
  <c r="V5" i="21"/>
  <c r="W5" i="21"/>
  <c r="T6" i="21"/>
  <c r="U6" i="21"/>
  <c r="V6" i="21"/>
  <c r="W6" i="21"/>
  <c r="T28" i="21"/>
  <c r="U28" i="21"/>
  <c r="V28" i="21"/>
  <c r="W28" i="21"/>
  <c r="T29" i="21"/>
  <c r="U29" i="21"/>
  <c r="V29" i="21"/>
  <c r="W29" i="21"/>
  <c r="T30" i="21"/>
  <c r="U30" i="21"/>
  <c r="V30" i="21"/>
  <c r="W30" i="21"/>
  <c r="T31" i="21"/>
  <c r="U31" i="21"/>
  <c r="V31" i="21"/>
  <c r="W31" i="21"/>
  <c r="T32" i="21"/>
  <c r="U32" i="21"/>
  <c r="V32" i="21"/>
  <c r="W32" i="21"/>
  <c r="T41" i="21"/>
  <c r="T33" i="21" s="1"/>
  <c r="U41" i="21"/>
  <c r="U33" i="21" s="1"/>
  <c r="V41" i="21"/>
  <c r="V33" i="21" s="1"/>
  <c r="W41" i="21"/>
  <c r="T44" i="21"/>
  <c r="U44" i="21"/>
  <c r="V44" i="21"/>
  <c r="W44" i="21"/>
  <c r="T45" i="21"/>
  <c r="U45" i="21"/>
  <c r="V45" i="21"/>
  <c r="W45" i="21"/>
  <c r="T46" i="21"/>
  <c r="U46" i="21"/>
  <c r="V46" i="21"/>
  <c r="W46" i="21"/>
  <c r="T47" i="21"/>
  <c r="U47" i="21"/>
  <c r="V47" i="21"/>
  <c r="W47" i="21"/>
  <c r="T48" i="21"/>
  <c r="U48" i="21"/>
  <c r="V48" i="21"/>
  <c r="W48" i="21"/>
  <c r="T65" i="21"/>
  <c r="T52" i="21" s="1"/>
  <c r="U65" i="21"/>
  <c r="U52" i="21" s="1"/>
  <c r="V65" i="21"/>
  <c r="V52" i="21" s="1"/>
  <c r="W65" i="21"/>
  <c r="W52" i="21" s="1"/>
  <c r="T67" i="21"/>
  <c r="U67" i="21"/>
  <c r="V67" i="21"/>
  <c r="W67" i="21"/>
  <c r="T68" i="21"/>
  <c r="U68" i="21"/>
  <c r="V68" i="21"/>
  <c r="W68" i="21"/>
  <c r="T70" i="21"/>
  <c r="U70" i="21"/>
  <c r="V70" i="21"/>
  <c r="W70" i="21"/>
  <c r="T71" i="21"/>
  <c r="U71" i="21"/>
  <c r="V71" i="21"/>
  <c r="W71" i="21"/>
  <c r="T72" i="21"/>
  <c r="U72" i="21"/>
  <c r="V72" i="21"/>
  <c r="W72" i="21"/>
  <c r="T74" i="21"/>
  <c r="U74" i="21"/>
  <c r="V74" i="21"/>
  <c r="W74" i="21"/>
  <c r="T78" i="21"/>
  <c r="T73" i="21" s="1"/>
  <c r="U78" i="21"/>
  <c r="U73" i="21" s="1"/>
  <c r="V78" i="21"/>
  <c r="V73" i="21" s="1"/>
  <c r="W78" i="21"/>
  <c r="W73" i="21" s="1"/>
  <c r="T83" i="21"/>
  <c r="U83" i="21"/>
  <c r="V83" i="21"/>
  <c r="W83" i="21"/>
  <c r="T89" i="21"/>
  <c r="U89" i="21"/>
  <c r="V89" i="21"/>
  <c r="T113" i="21"/>
  <c r="U113" i="21"/>
  <c r="V113" i="21"/>
  <c r="W113" i="21"/>
  <c r="T120" i="21"/>
  <c r="U120" i="21"/>
  <c r="V120" i="21"/>
  <c r="W120" i="21"/>
  <c r="T126" i="21"/>
  <c r="U126" i="21"/>
  <c r="V126" i="21"/>
  <c r="W126" i="21"/>
  <c r="T128" i="21"/>
  <c r="U128" i="21"/>
  <c r="V128" i="21"/>
  <c r="W128" i="21"/>
  <c r="T130" i="21"/>
  <c r="U130" i="21"/>
  <c r="V130" i="21"/>
  <c r="W130" i="21"/>
  <c r="T132" i="21"/>
  <c r="U132" i="21"/>
  <c r="V132" i="21"/>
  <c r="W132" i="21"/>
  <c r="T134" i="21"/>
  <c r="U134" i="21"/>
  <c r="V134" i="21"/>
  <c r="T135" i="21"/>
  <c r="U135" i="21"/>
  <c r="V135" i="21"/>
  <c r="W135" i="21"/>
  <c r="T136" i="21"/>
  <c r="U136" i="21"/>
  <c r="V136" i="21"/>
  <c r="W136" i="21"/>
  <c r="T137" i="21"/>
  <c r="U137" i="21"/>
  <c r="V137" i="21"/>
  <c r="W137" i="21"/>
  <c r="T140" i="21"/>
  <c r="U140" i="21"/>
  <c r="V140" i="21"/>
  <c r="W140" i="21"/>
  <c r="T141" i="21"/>
  <c r="U141" i="21"/>
  <c r="V141" i="21"/>
  <c r="W141" i="21"/>
  <c r="T143" i="21"/>
  <c r="U143" i="21"/>
  <c r="V143" i="21"/>
  <c r="W143" i="21"/>
  <c r="T144" i="21"/>
  <c r="U144" i="21"/>
  <c r="V144" i="21"/>
  <c r="W144" i="21"/>
  <c r="T145" i="21"/>
  <c r="U145" i="21"/>
  <c r="V145" i="21"/>
  <c r="W145" i="21"/>
  <c r="T146" i="21"/>
  <c r="U146" i="21"/>
  <c r="V146" i="21"/>
  <c r="W146" i="21"/>
  <c r="C83" i="21"/>
  <c r="D83" i="21"/>
  <c r="X83" i="21"/>
  <c r="Y83" i="21"/>
  <c r="Z83" i="21"/>
  <c r="AA83" i="21"/>
  <c r="E83" i="21"/>
  <c r="AB83" i="21"/>
  <c r="AC83" i="21"/>
  <c r="AD83" i="21"/>
  <c r="AE83" i="21"/>
  <c r="F83" i="21"/>
  <c r="AF83" i="21"/>
  <c r="AG83" i="21"/>
  <c r="AH83" i="21"/>
  <c r="AI83" i="21"/>
  <c r="G83" i="21"/>
  <c r="H83" i="21"/>
  <c r="I83" i="21"/>
  <c r="J83" i="21"/>
  <c r="G71" i="21"/>
  <c r="J71" i="21"/>
  <c r="H74" i="21"/>
  <c r="I74" i="21"/>
  <c r="J74" i="21"/>
  <c r="C74" i="21"/>
  <c r="D74" i="21"/>
  <c r="X74" i="21"/>
  <c r="Y74" i="21"/>
  <c r="Z74" i="21"/>
  <c r="AA74" i="21"/>
  <c r="E74" i="21"/>
  <c r="AB74" i="21"/>
  <c r="AC74" i="21"/>
  <c r="AD74" i="21"/>
  <c r="AE74" i="21"/>
  <c r="F74" i="21"/>
  <c r="AF74" i="21"/>
  <c r="AG74" i="21"/>
  <c r="AH74" i="21"/>
  <c r="AI74" i="21"/>
  <c r="G74" i="21"/>
  <c r="J72" i="21"/>
  <c r="I72" i="21"/>
  <c r="H72" i="21"/>
  <c r="G72" i="21"/>
  <c r="AI72" i="21"/>
  <c r="AH72" i="21"/>
  <c r="AG72" i="21"/>
  <c r="AF72" i="21"/>
  <c r="F72" i="21"/>
  <c r="AE72" i="21"/>
  <c r="AD72" i="21"/>
  <c r="AC72" i="21"/>
  <c r="AB72" i="21"/>
  <c r="E72" i="21"/>
  <c r="AA72" i="21"/>
  <c r="Z72" i="21"/>
  <c r="Y72" i="21"/>
  <c r="X72" i="21"/>
  <c r="D72" i="21"/>
  <c r="C72" i="21"/>
  <c r="AD135" i="9"/>
  <c r="AC135" i="9"/>
  <c r="AB135" i="9"/>
  <c r="AA135" i="9"/>
  <c r="Z135" i="9"/>
  <c r="Y135" i="9"/>
  <c r="X135" i="9"/>
  <c r="W135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J135" i="9"/>
  <c r="I135" i="9"/>
  <c r="H135" i="9"/>
  <c r="G135" i="9"/>
  <c r="F135" i="9"/>
  <c r="E135" i="9"/>
  <c r="D135" i="9"/>
  <c r="C135" i="9"/>
  <c r="AD134" i="9"/>
  <c r="AD166" i="9" s="1"/>
  <c r="AC134" i="9"/>
  <c r="AC166" i="9" s="1"/>
  <c r="AB134" i="9"/>
  <c r="AB166" i="9" s="1"/>
  <c r="AA134" i="9"/>
  <c r="AA166" i="9" s="1"/>
  <c r="Z134" i="9"/>
  <c r="Z166" i="9" s="1"/>
  <c r="Y134" i="9"/>
  <c r="Y166" i="9" s="1"/>
  <c r="X134" i="9"/>
  <c r="X166" i="9" s="1"/>
  <c r="W134" i="9"/>
  <c r="W166" i="9" s="1"/>
  <c r="V134" i="9"/>
  <c r="V166" i="9" s="1"/>
  <c r="U134" i="9"/>
  <c r="U166" i="9" s="1"/>
  <c r="T134" i="9"/>
  <c r="T166" i="9" s="1"/>
  <c r="S134" i="9"/>
  <c r="S166" i="9" s="1"/>
  <c r="R134" i="9"/>
  <c r="R166" i="9" s="1"/>
  <c r="Q134" i="9"/>
  <c r="Q166" i="9" s="1"/>
  <c r="P134" i="9"/>
  <c r="P166" i="9" s="1"/>
  <c r="O134" i="9"/>
  <c r="O166" i="9" s="1"/>
  <c r="N134" i="9"/>
  <c r="N166" i="9" s="1"/>
  <c r="M134" i="9"/>
  <c r="M166" i="9" s="1"/>
  <c r="L134" i="9"/>
  <c r="L166" i="9" s="1"/>
  <c r="K134" i="9"/>
  <c r="K166" i="9" s="1"/>
  <c r="J134" i="9"/>
  <c r="J166" i="9" s="1"/>
  <c r="I134" i="9"/>
  <c r="I166" i="9" s="1"/>
  <c r="H134" i="9"/>
  <c r="H166" i="9" s="1"/>
  <c r="G134" i="9"/>
  <c r="G166" i="9" s="1"/>
  <c r="F134" i="9"/>
  <c r="E134" i="9"/>
  <c r="E166" i="9" s="1"/>
  <c r="C134" i="9"/>
  <c r="AD133" i="9"/>
  <c r="AC133" i="9"/>
  <c r="AB133" i="9"/>
  <c r="AA133" i="9"/>
  <c r="Z133" i="9"/>
  <c r="Y133" i="9"/>
  <c r="X133" i="9"/>
  <c r="W133" i="9"/>
  <c r="V133" i="9"/>
  <c r="U133" i="9"/>
  <c r="T133" i="9"/>
  <c r="S133" i="9"/>
  <c r="R133" i="9"/>
  <c r="Q133" i="9"/>
  <c r="P133" i="9"/>
  <c r="O133" i="9"/>
  <c r="N133" i="9"/>
  <c r="M133" i="9"/>
  <c r="L133" i="9"/>
  <c r="K133" i="9"/>
  <c r="J133" i="9"/>
  <c r="I133" i="9"/>
  <c r="H133" i="9"/>
  <c r="G133" i="9"/>
  <c r="F133" i="9"/>
  <c r="E133" i="9"/>
  <c r="D133" i="9"/>
  <c r="C133" i="9"/>
  <c r="AD132" i="9"/>
  <c r="AC132" i="9"/>
  <c r="AB132" i="9"/>
  <c r="AA132" i="9"/>
  <c r="Z132" i="9"/>
  <c r="Y132" i="9"/>
  <c r="X132" i="9"/>
  <c r="W132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J132" i="9"/>
  <c r="I132" i="9"/>
  <c r="H132" i="9"/>
  <c r="G132" i="9"/>
  <c r="F132" i="9"/>
  <c r="E132" i="9"/>
  <c r="D132" i="9"/>
  <c r="C132" i="9"/>
  <c r="AD130" i="9"/>
  <c r="AC130" i="9"/>
  <c r="AB130" i="9"/>
  <c r="AA130" i="9"/>
  <c r="Z130" i="9"/>
  <c r="Y130" i="9"/>
  <c r="X130" i="9"/>
  <c r="W130" i="9"/>
  <c r="V130" i="9"/>
  <c r="U130" i="9"/>
  <c r="T130" i="9"/>
  <c r="S130" i="9"/>
  <c r="R130" i="9"/>
  <c r="Q130" i="9"/>
  <c r="P130" i="9"/>
  <c r="O130" i="9"/>
  <c r="N130" i="9"/>
  <c r="M130" i="9"/>
  <c r="L130" i="9"/>
  <c r="K130" i="9"/>
  <c r="J130" i="9"/>
  <c r="I130" i="9"/>
  <c r="H130" i="9"/>
  <c r="G130" i="9"/>
  <c r="F130" i="9"/>
  <c r="E130" i="9"/>
  <c r="D130" i="9"/>
  <c r="C130" i="9"/>
  <c r="AD129" i="9"/>
  <c r="AC129" i="9"/>
  <c r="AB129" i="9"/>
  <c r="AA129" i="9"/>
  <c r="Z129" i="9"/>
  <c r="Y129" i="9"/>
  <c r="X129" i="9"/>
  <c r="W129" i="9"/>
  <c r="V129" i="9"/>
  <c r="U129" i="9"/>
  <c r="T129" i="9"/>
  <c r="S129" i="9"/>
  <c r="R129" i="9"/>
  <c r="Q129" i="9"/>
  <c r="P129" i="9"/>
  <c r="O129" i="9"/>
  <c r="N129" i="9"/>
  <c r="M129" i="9"/>
  <c r="L129" i="9"/>
  <c r="K129" i="9"/>
  <c r="J129" i="9"/>
  <c r="I129" i="9"/>
  <c r="H129" i="9"/>
  <c r="G129" i="9"/>
  <c r="F129" i="9"/>
  <c r="E129" i="9"/>
  <c r="D129" i="9"/>
  <c r="C129" i="9"/>
  <c r="AD126" i="9"/>
  <c r="AC126" i="9"/>
  <c r="AB126" i="9"/>
  <c r="AA126" i="9"/>
  <c r="Z126" i="9"/>
  <c r="Y126" i="9"/>
  <c r="X126" i="9"/>
  <c r="W126" i="9"/>
  <c r="V126" i="9"/>
  <c r="U126" i="9"/>
  <c r="T126" i="9"/>
  <c r="S126" i="9"/>
  <c r="R126" i="9"/>
  <c r="Q126" i="9"/>
  <c r="P126" i="9"/>
  <c r="O126" i="9"/>
  <c r="N126" i="9"/>
  <c r="M126" i="9"/>
  <c r="L126" i="9"/>
  <c r="K126" i="9"/>
  <c r="J126" i="9"/>
  <c r="I126" i="9"/>
  <c r="H126" i="9"/>
  <c r="G126" i="9"/>
  <c r="F126" i="9"/>
  <c r="E126" i="9"/>
  <c r="D126" i="9"/>
  <c r="C126" i="9"/>
  <c r="AD125" i="9"/>
  <c r="AC125" i="9"/>
  <c r="AB125" i="9"/>
  <c r="AA125" i="9"/>
  <c r="Z125" i="9"/>
  <c r="Y125" i="9"/>
  <c r="X125" i="9"/>
  <c r="W125" i="9"/>
  <c r="V125" i="9"/>
  <c r="U125" i="9"/>
  <c r="T125" i="9"/>
  <c r="S125" i="9"/>
  <c r="R125" i="9"/>
  <c r="Q125" i="9"/>
  <c r="P125" i="9"/>
  <c r="O125" i="9"/>
  <c r="N125" i="9"/>
  <c r="M125" i="9"/>
  <c r="L125" i="9"/>
  <c r="K125" i="9"/>
  <c r="J125" i="9"/>
  <c r="I125" i="9"/>
  <c r="H125" i="9"/>
  <c r="G125" i="9"/>
  <c r="F125" i="9"/>
  <c r="E125" i="9"/>
  <c r="D125" i="9"/>
  <c r="C125" i="9"/>
  <c r="AD124" i="9"/>
  <c r="AC124" i="9"/>
  <c r="AB124" i="9"/>
  <c r="AA124" i="9"/>
  <c r="Z124" i="9"/>
  <c r="Y124" i="9"/>
  <c r="X124" i="9"/>
  <c r="W124" i="9"/>
  <c r="V124" i="9"/>
  <c r="U124" i="9"/>
  <c r="T124" i="9"/>
  <c r="S124" i="9"/>
  <c r="R124" i="9"/>
  <c r="Q124" i="9"/>
  <c r="P124" i="9"/>
  <c r="O124" i="9"/>
  <c r="N124" i="9"/>
  <c r="M124" i="9"/>
  <c r="L124" i="9"/>
  <c r="K124" i="9"/>
  <c r="J124" i="9"/>
  <c r="I124" i="9"/>
  <c r="H124" i="9"/>
  <c r="G124" i="9"/>
  <c r="F124" i="9"/>
  <c r="E124" i="9"/>
  <c r="D124" i="9"/>
  <c r="C124" i="9"/>
  <c r="B124" i="9"/>
  <c r="B123" i="9"/>
  <c r="AD121" i="9"/>
  <c r="AC121" i="9"/>
  <c r="AB121" i="9"/>
  <c r="AA121" i="9"/>
  <c r="Z121" i="9"/>
  <c r="Y121" i="9"/>
  <c r="X121" i="9"/>
  <c r="W121" i="9"/>
  <c r="V121" i="9"/>
  <c r="U121" i="9"/>
  <c r="T121" i="9"/>
  <c r="S121" i="9"/>
  <c r="R121" i="9"/>
  <c r="Q121" i="9"/>
  <c r="P121" i="9"/>
  <c r="O121" i="9"/>
  <c r="N121" i="9"/>
  <c r="M121" i="9"/>
  <c r="L121" i="9"/>
  <c r="K121" i="9"/>
  <c r="J121" i="9"/>
  <c r="I121" i="9"/>
  <c r="H121" i="9"/>
  <c r="G121" i="9"/>
  <c r="F121" i="9"/>
  <c r="E121" i="9"/>
  <c r="D121" i="9"/>
  <c r="C121" i="9"/>
  <c r="AD119" i="9"/>
  <c r="AC119" i="9"/>
  <c r="AB119" i="9"/>
  <c r="AA119" i="9"/>
  <c r="Z119" i="9"/>
  <c r="Y119" i="9"/>
  <c r="X119" i="9"/>
  <c r="W119" i="9"/>
  <c r="V119" i="9"/>
  <c r="U119" i="9"/>
  <c r="T119" i="9"/>
  <c r="S119" i="9"/>
  <c r="R119" i="9"/>
  <c r="Q119" i="9"/>
  <c r="P119" i="9"/>
  <c r="O119" i="9"/>
  <c r="N119" i="9"/>
  <c r="M119" i="9"/>
  <c r="L119" i="9"/>
  <c r="K119" i="9"/>
  <c r="J119" i="9"/>
  <c r="I119" i="9"/>
  <c r="H119" i="9"/>
  <c r="G119" i="9"/>
  <c r="F119" i="9"/>
  <c r="E119" i="9"/>
  <c r="D119" i="9"/>
  <c r="C119" i="9"/>
  <c r="AD117" i="9"/>
  <c r="AC117" i="9"/>
  <c r="AB117" i="9"/>
  <c r="AA117" i="9"/>
  <c r="Z117" i="9"/>
  <c r="Y117" i="9"/>
  <c r="X117" i="9"/>
  <c r="W117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E117" i="9"/>
  <c r="D117" i="9"/>
  <c r="C117" i="9"/>
  <c r="AD115" i="9"/>
  <c r="AC115" i="9"/>
  <c r="AB115" i="9"/>
  <c r="AA115" i="9"/>
  <c r="Z115" i="9"/>
  <c r="Y115" i="9"/>
  <c r="X115" i="9"/>
  <c r="W115" i="9"/>
  <c r="V115" i="9"/>
  <c r="U115" i="9"/>
  <c r="T115" i="9"/>
  <c r="S115" i="9"/>
  <c r="R115" i="9"/>
  <c r="Q115" i="9"/>
  <c r="P115" i="9"/>
  <c r="O115" i="9"/>
  <c r="N115" i="9"/>
  <c r="M115" i="9"/>
  <c r="L115" i="9"/>
  <c r="K115" i="9"/>
  <c r="J115" i="9"/>
  <c r="I115" i="9"/>
  <c r="H115" i="9"/>
  <c r="G115" i="9"/>
  <c r="F115" i="9"/>
  <c r="E115" i="9"/>
  <c r="D115" i="9"/>
  <c r="C115" i="9"/>
  <c r="AD109" i="9"/>
  <c r="AC109" i="9"/>
  <c r="AB109" i="9"/>
  <c r="AA109" i="9"/>
  <c r="Z109" i="9"/>
  <c r="Y109" i="9"/>
  <c r="X109" i="9"/>
  <c r="W109" i="9"/>
  <c r="V109" i="9"/>
  <c r="U109" i="9"/>
  <c r="T109" i="9"/>
  <c r="S109" i="9"/>
  <c r="R109" i="9"/>
  <c r="Q109" i="9"/>
  <c r="P109" i="9"/>
  <c r="O109" i="9"/>
  <c r="N109" i="9"/>
  <c r="M109" i="9"/>
  <c r="L109" i="9"/>
  <c r="K109" i="9"/>
  <c r="J109" i="9"/>
  <c r="I109" i="9"/>
  <c r="H109" i="9"/>
  <c r="G109" i="9"/>
  <c r="F109" i="9"/>
  <c r="E109" i="9"/>
  <c r="D109" i="9"/>
  <c r="C109" i="9"/>
  <c r="AD102" i="9"/>
  <c r="AC102" i="9"/>
  <c r="AB102" i="9"/>
  <c r="AA102" i="9"/>
  <c r="Z102" i="9"/>
  <c r="Y102" i="9"/>
  <c r="X102" i="9"/>
  <c r="W102" i="9"/>
  <c r="V102" i="9"/>
  <c r="U102" i="9"/>
  <c r="T102" i="9"/>
  <c r="S102" i="9"/>
  <c r="R102" i="9"/>
  <c r="Q102" i="9"/>
  <c r="P102" i="9"/>
  <c r="O102" i="9"/>
  <c r="N102" i="9"/>
  <c r="M102" i="9"/>
  <c r="L102" i="9"/>
  <c r="K102" i="9"/>
  <c r="J102" i="9"/>
  <c r="I102" i="9"/>
  <c r="H102" i="9"/>
  <c r="G102" i="9"/>
  <c r="F102" i="9"/>
  <c r="E102" i="9"/>
  <c r="D102" i="9"/>
  <c r="C102" i="9"/>
  <c r="AD72" i="9"/>
  <c r="AC72" i="9"/>
  <c r="AB72" i="9"/>
  <c r="AA72" i="9"/>
  <c r="Z72" i="9"/>
  <c r="Y72" i="9"/>
  <c r="X72" i="9"/>
  <c r="W72" i="9"/>
  <c r="V72" i="9"/>
  <c r="U72" i="9"/>
  <c r="T72" i="9"/>
  <c r="S72" i="9"/>
  <c r="R72" i="9"/>
  <c r="Q72" i="9"/>
  <c r="P72" i="9"/>
  <c r="O72" i="9"/>
  <c r="N72" i="9"/>
  <c r="M72" i="9"/>
  <c r="L72" i="9"/>
  <c r="K72" i="9"/>
  <c r="J72" i="9"/>
  <c r="I72" i="9"/>
  <c r="H72" i="9"/>
  <c r="G72" i="9"/>
  <c r="F72" i="9"/>
  <c r="E72" i="9"/>
  <c r="D72" i="9"/>
  <c r="C72" i="9"/>
  <c r="AD68" i="9"/>
  <c r="AD78" i="9" s="1"/>
  <c r="AC68" i="9"/>
  <c r="AC78" i="9" s="1"/>
  <c r="AB68" i="9"/>
  <c r="AB78" i="9" s="1"/>
  <c r="AA68" i="9"/>
  <c r="Z68" i="9"/>
  <c r="Z78" i="9" s="1"/>
  <c r="Y68" i="9"/>
  <c r="Y78" i="9" s="1"/>
  <c r="X68" i="9"/>
  <c r="X78" i="9" s="1"/>
  <c r="W68" i="9"/>
  <c r="W78" i="9" s="1"/>
  <c r="V68" i="9"/>
  <c r="V78" i="9" s="1"/>
  <c r="U68" i="9"/>
  <c r="U78" i="9" s="1"/>
  <c r="T68" i="9"/>
  <c r="S68" i="9"/>
  <c r="S78" i="9" s="1"/>
  <c r="R68" i="9"/>
  <c r="R78" i="9" s="1"/>
  <c r="Q68" i="9"/>
  <c r="Q78" i="9" s="1"/>
  <c r="P68" i="9"/>
  <c r="P78" i="9" s="1"/>
  <c r="O68" i="9"/>
  <c r="O78" i="9" s="1"/>
  <c r="N68" i="9"/>
  <c r="N78" i="9" s="1"/>
  <c r="M68" i="9"/>
  <c r="M78" i="9" s="1"/>
  <c r="L68" i="9"/>
  <c r="K68" i="9"/>
  <c r="K78" i="9" s="1"/>
  <c r="J68" i="9"/>
  <c r="J78" i="9" s="1"/>
  <c r="I68" i="9"/>
  <c r="I78" i="9" s="1"/>
  <c r="H68" i="9"/>
  <c r="H78" i="9" s="1"/>
  <c r="G68" i="9"/>
  <c r="G78" i="9" s="1"/>
  <c r="F68" i="9"/>
  <c r="F78" i="9" s="1"/>
  <c r="E68" i="9"/>
  <c r="D68" i="9"/>
  <c r="D78" i="9" s="1"/>
  <c r="C68" i="9"/>
  <c r="C78" i="9" s="1"/>
  <c r="C126" i="21"/>
  <c r="D126" i="21"/>
  <c r="X126" i="21"/>
  <c r="Y126" i="21"/>
  <c r="Z126" i="21"/>
  <c r="AA126" i="21"/>
  <c r="E126" i="21"/>
  <c r="AB126" i="21"/>
  <c r="AC126" i="21"/>
  <c r="AD126" i="21"/>
  <c r="AE126" i="21"/>
  <c r="F126" i="21"/>
  <c r="AF126" i="21"/>
  <c r="AG126" i="21"/>
  <c r="AH126" i="21"/>
  <c r="AI126" i="21"/>
  <c r="G126" i="21"/>
  <c r="H126" i="21"/>
  <c r="I126" i="21"/>
  <c r="J126" i="21"/>
  <c r="C128" i="21"/>
  <c r="D128" i="21"/>
  <c r="X128" i="21"/>
  <c r="Y128" i="21"/>
  <c r="Z128" i="21"/>
  <c r="AA128" i="21"/>
  <c r="E128" i="21"/>
  <c r="AB128" i="21"/>
  <c r="AC128" i="21"/>
  <c r="AD128" i="21"/>
  <c r="AE128" i="21"/>
  <c r="F128" i="21"/>
  <c r="AF128" i="21"/>
  <c r="AG128" i="21"/>
  <c r="AH128" i="21"/>
  <c r="AI128" i="21"/>
  <c r="G128" i="21"/>
  <c r="H128" i="21"/>
  <c r="I128" i="21"/>
  <c r="J128" i="21"/>
  <c r="C130" i="21"/>
  <c r="D130" i="21"/>
  <c r="X130" i="21"/>
  <c r="Y130" i="21"/>
  <c r="Z130" i="21"/>
  <c r="AA130" i="21"/>
  <c r="E130" i="21"/>
  <c r="AB130" i="21"/>
  <c r="AC130" i="21"/>
  <c r="AD130" i="21"/>
  <c r="AE130" i="21"/>
  <c r="F130" i="21"/>
  <c r="AF130" i="21"/>
  <c r="AG130" i="21"/>
  <c r="AH130" i="21"/>
  <c r="AI130" i="21"/>
  <c r="G130" i="21"/>
  <c r="H130" i="21"/>
  <c r="I130" i="21"/>
  <c r="J130" i="21"/>
  <c r="C132" i="21"/>
  <c r="D132" i="21"/>
  <c r="X132" i="21"/>
  <c r="Y132" i="21"/>
  <c r="Z132" i="21"/>
  <c r="AA132" i="21"/>
  <c r="E132" i="21"/>
  <c r="AB132" i="21"/>
  <c r="AC132" i="21"/>
  <c r="AD132" i="21"/>
  <c r="AE132" i="21"/>
  <c r="F132" i="21"/>
  <c r="AF132" i="21"/>
  <c r="AG132" i="21"/>
  <c r="AH132" i="21"/>
  <c r="AI132" i="21"/>
  <c r="G132" i="21"/>
  <c r="H132" i="21"/>
  <c r="I132" i="21"/>
  <c r="J132" i="21"/>
  <c r="B134" i="21"/>
  <c r="D134" i="21"/>
  <c r="Z134" i="21"/>
  <c r="E134" i="21"/>
  <c r="AC134" i="21"/>
  <c r="AD134" i="21"/>
  <c r="F134" i="21"/>
  <c r="AH134" i="21"/>
  <c r="AI134" i="21"/>
  <c r="G134" i="21"/>
  <c r="H134" i="21"/>
  <c r="B135" i="21"/>
  <c r="C135" i="21"/>
  <c r="D135" i="21"/>
  <c r="X135" i="21"/>
  <c r="Y135" i="21"/>
  <c r="Z135" i="21"/>
  <c r="AA135" i="21"/>
  <c r="E135" i="21"/>
  <c r="AB135" i="21"/>
  <c r="AC135" i="21"/>
  <c r="AD135" i="21"/>
  <c r="AE135" i="21"/>
  <c r="F135" i="21"/>
  <c r="AF135" i="21"/>
  <c r="AG135" i="21"/>
  <c r="AH135" i="21"/>
  <c r="AI135" i="21"/>
  <c r="G135" i="21"/>
  <c r="H135" i="21"/>
  <c r="I135" i="21"/>
  <c r="J135" i="21"/>
  <c r="D141" i="21"/>
  <c r="X141" i="21"/>
  <c r="Y141" i="21"/>
  <c r="Z141" i="21"/>
  <c r="AA141" i="21"/>
  <c r="E141" i="21"/>
  <c r="AB141" i="21"/>
  <c r="AC141" i="21"/>
  <c r="AD141" i="21"/>
  <c r="AE141" i="21"/>
  <c r="F141" i="21"/>
  <c r="AF141" i="21"/>
  <c r="AG141" i="21"/>
  <c r="AH141" i="21"/>
  <c r="AI141" i="21"/>
  <c r="G141" i="21"/>
  <c r="H141" i="21"/>
  <c r="I141" i="21"/>
  <c r="J141" i="21"/>
  <c r="M141" i="21"/>
  <c r="C141" i="21"/>
  <c r="M126" i="21"/>
  <c r="C137" i="21"/>
  <c r="D137" i="21"/>
  <c r="X137" i="21"/>
  <c r="Y137" i="21"/>
  <c r="Z137" i="21"/>
  <c r="AA137" i="21"/>
  <c r="E137" i="21"/>
  <c r="AB137" i="21"/>
  <c r="AC137" i="21"/>
  <c r="AD137" i="21"/>
  <c r="AE137" i="21"/>
  <c r="F137" i="21"/>
  <c r="AF137" i="21"/>
  <c r="AG137" i="21"/>
  <c r="AH137" i="21"/>
  <c r="AI137" i="21"/>
  <c r="G137" i="21"/>
  <c r="H137" i="21"/>
  <c r="I137" i="21"/>
  <c r="J137" i="21"/>
  <c r="M137" i="21"/>
  <c r="C140" i="21"/>
  <c r="D140" i="21"/>
  <c r="X140" i="21"/>
  <c r="Y140" i="21"/>
  <c r="Z140" i="21"/>
  <c r="AA140" i="21"/>
  <c r="E140" i="21"/>
  <c r="AB140" i="21"/>
  <c r="AC140" i="21"/>
  <c r="AD140" i="21"/>
  <c r="AE140" i="21"/>
  <c r="F140" i="21"/>
  <c r="AF140" i="21"/>
  <c r="AG140" i="21"/>
  <c r="AH140" i="21"/>
  <c r="AI140" i="21"/>
  <c r="G140" i="21"/>
  <c r="H140" i="21"/>
  <c r="I140" i="21"/>
  <c r="J140" i="21"/>
  <c r="M140" i="21"/>
  <c r="AA145" i="21"/>
  <c r="E145" i="21"/>
  <c r="AB145" i="21"/>
  <c r="AC145" i="21"/>
  <c r="AD145" i="21"/>
  <c r="AE145" i="21"/>
  <c r="F145" i="21"/>
  <c r="AF145" i="21"/>
  <c r="AG145" i="21"/>
  <c r="AH145" i="21"/>
  <c r="AI145" i="21"/>
  <c r="G145" i="21"/>
  <c r="H145" i="21"/>
  <c r="I145" i="21"/>
  <c r="J145" i="21"/>
  <c r="M145" i="21"/>
  <c r="C145" i="21"/>
  <c r="D145" i="21"/>
  <c r="X145" i="21"/>
  <c r="Y145" i="21"/>
  <c r="Z145" i="21"/>
  <c r="M128" i="21"/>
  <c r="M130" i="21"/>
  <c r="M132" i="21"/>
  <c r="M134" i="21"/>
  <c r="M135" i="21"/>
  <c r="M136" i="21"/>
  <c r="M143" i="21"/>
  <c r="M144" i="21"/>
  <c r="M146" i="21"/>
  <c r="J67" i="21"/>
  <c r="E67" i="21"/>
  <c r="AB67" i="21"/>
  <c r="AC67" i="21"/>
  <c r="AD67" i="21"/>
  <c r="AE67" i="21"/>
  <c r="F67" i="21"/>
  <c r="AF67" i="21"/>
  <c r="AG67" i="21"/>
  <c r="AH67" i="21"/>
  <c r="AI67" i="21"/>
  <c r="G67" i="21"/>
  <c r="H67" i="21"/>
  <c r="I67" i="21"/>
  <c r="D67" i="21"/>
  <c r="X67" i="21"/>
  <c r="Y67" i="21"/>
  <c r="Z67" i="21"/>
  <c r="AA67" i="21"/>
  <c r="AF70" i="21"/>
  <c r="D70" i="21"/>
  <c r="X70" i="21"/>
  <c r="Y70" i="21"/>
  <c r="Z70" i="21"/>
  <c r="AA70" i="21"/>
  <c r="E70" i="21"/>
  <c r="AB70" i="21"/>
  <c r="AC70" i="21"/>
  <c r="AD70" i="21"/>
  <c r="AE70" i="21"/>
  <c r="F70" i="21"/>
  <c r="AG70" i="21"/>
  <c r="AH70" i="21"/>
  <c r="AI70" i="21"/>
  <c r="G70" i="21"/>
  <c r="H70" i="21"/>
  <c r="I70" i="21"/>
  <c r="J70" i="21"/>
  <c r="AA71" i="21"/>
  <c r="E71" i="21"/>
  <c r="AB71" i="21"/>
  <c r="AC71" i="21"/>
  <c r="AD71" i="21"/>
  <c r="AE71" i="21"/>
  <c r="F71" i="21"/>
  <c r="AF71" i="21"/>
  <c r="AG71" i="21"/>
  <c r="AH71" i="21"/>
  <c r="AI71" i="21"/>
  <c r="H71" i="21"/>
  <c r="I71" i="21"/>
  <c r="C71" i="21"/>
  <c r="D71" i="21"/>
  <c r="X71" i="21"/>
  <c r="Y71" i="21"/>
  <c r="Z71" i="21"/>
  <c r="AB68" i="21"/>
  <c r="AC68" i="21"/>
  <c r="AD68" i="21"/>
  <c r="AE68" i="21"/>
  <c r="F68" i="21"/>
  <c r="AF68" i="21"/>
  <c r="AG68" i="21"/>
  <c r="AH68" i="21"/>
  <c r="AI68" i="21"/>
  <c r="G68" i="21"/>
  <c r="H68" i="21"/>
  <c r="I68" i="21"/>
  <c r="J68" i="21"/>
  <c r="C68" i="21"/>
  <c r="D68" i="21"/>
  <c r="X68" i="21"/>
  <c r="Y68" i="21"/>
  <c r="Z68" i="21"/>
  <c r="AA68" i="21"/>
  <c r="E68" i="21"/>
  <c r="J146" i="21"/>
  <c r="I146" i="21"/>
  <c r="H146" i="21"/>
  <c r="G146" i="21"/>
  <c r="AI146" i="21"/>
  <c r="AH146" i="21"/>
  <c r="AG146" i="21"/>
  <c r="AF146" i="21"/>
  <c r="F146" i="21"/>
  <c r="AE146" i="21"/>
  <c r="AD146" i="21"/>
  <c r="AC146" i="21"/>
  <c r="AB146" i="21"/>
  <c r="E146" i="21"/>
  <c r="AA146" i="21"/>
  <c r="Z146" i="21"/>
  <c r="Y146" i="21"/>
  <c r="X146" i="21"/>
  <c r="D146" i="21"/>
  <c r="C146" i="21"/>
  <c r="J144" i="21"/>
  <c r="I144" i="21"/>
  <c r="H144" i="21"/>
  <c r="G144" i="21"/>
  <c r="AI144" i="21"/>
  <c r="AH144" i="21"/>
  <c r="AG144" i="21"/>
  <c r="AF144" i="21"/>
  <c r="F144" i="21"/>
  <c r="AE144" i="21"/>
  <c r="AD144" i="21"/>
  <c r="AC144" i="21"/>
  <c r="AB144" i="21"/>
  <c r="E144" i="21"/>
  <c r="AA144" i="21"/>
  <c r="Z144" i="21"/>
  <c r="Y144" i="21"/>
  <c r="X144" i="21"/>
  <c r="D144" i="21"/>
  <c r="C144" i="21"/>
  <c r="J143" i="21"/>
  <c r="I143" i="21"/>
  <c r="H143" i="21"/>
  <c r="G143" i="21"/>
  <c r="AI143" i="21"/>
  <c r="AH143" i="21"/>
  <c r="AG143" i="21"/>
  <c r="AF143" i="21"/>
  <c r="F143" i="21"/>
  <c r="AE143" i="21"/>
  <c r="AD143" i="21"/>
  <c r="AC143" i="21"/>
  <c r="AB143" i="21"/>
  <c r="E143" i="21"/>
  <c r="AA143" i="21"/>
  <c r="Z143" i="21"/>
  <c r="Y143" i="21"/>
  <c r="X143" i="21"/>
  <c r="D143" i="21"/>
  <c r="C143" i="21"/>
  <c r="J136" i="21"/>
  <c r="I136" i="21"/>
  <c r="H136" i="21"/>
  <c r="G136" i="21"/>
  <c r="AI136" i="21"/>
  <c r="AH136" i="21"/>
  <c r="AG136" i="21"/>
  <c r="AF136" i="21"/>
  <c r="F136" i="21"/>
  <c r="AE136" i="21"/>
  <c r="AD136" i="21"/>
  <c r="AC136" i="21"/>
  <c r="AB136" i="21"/>
  <c r="E136" i="21"/>
  <c r="AA136" i="21"/>
  <c r="Z136" i="21"/>
  <c r="Y136" i="21"/>
  <c r="X136" i="21"/>
  <c r="D136" i="21"/>
  <c r="C136" i="21"/>
  <c r="J120" i="21"/>
  <c r="J106" i="21" s="1"/>
  <c r="I120" i="21"/>
  <c r="H120" i="21"/>
  <c r="G120" i="21"/>
  <c r="AI120" i="21"/>
  <c r="AH120" i="21"/>
  <c r="AG120" i="21"/>
  <c r="AF120" i="21"/>
  <c r="F120" i="21"/>
  <c r="AE120" i="21"/>
  <c r="AD120" i="21"/>
  <c r="AC120" i="21"/>
  <c r="AB120" i="21"/>
  <c r="E120" i="21"/>
  <c r="AA120" i="21"/>
  <c r="Z120" i="21"/>
  <c r="Y120" i="21"/>
  <c r="X120" i="21"/>
  <c r="D120" i="21"/>
  <c r="C120" i="21"/>
  <c r="J113" i="21"/>
  <c r="I113" i="21"/>
  <c r="G113" i="21"/>
  <c r="AI113" i="21"/>
  <c r="AH113" i="21"/>
  <c r="AG113" i="21"/>
  <c r="AF113" i="21"/>
  <c r="F113" i="21"/>
  <c r="AE113" i="21"/>
  <c r="AD113" i="21"/>
  <c r="AC113" i="21"/>
  <c r="AB113" i="21"/>
  <c r="E113" i="21"/>
  <c r="AA113" i="21"/>
  <c r="Z113" i="21"/>
  <c r="Y113" i="21"/>
  <c r="X113" i="21"/>
  <c r="D113" i="21"/>
  <c r="C113" i="21"/>
  <c r="J78" i="21"/>
  <c r="J73" i="21" s="1"/>
  <c r="I78" i="21"/>
  <c r="I89" i="21" s="1"/>
  <c r="H78" i="21"/>
  <c r="H89" i="21" s="1"/>
  <c r="G78" i="21"/>
  <c r="G89" i="21" s="1"/>
  <c r="AI78" i="21"/>
  <c r="AI89" i="21" s="1"/>
  <c r="AH78" i="21"/>
  <c r="AH89" i="21" s="1"/>
  <c r="AG78" i="21"/>
  <c r="AG73" i="21" s="1"/>
  <c r="AF78" i="21"/>
  <c r="AF89" i="21" s="1"/>
  <c r="F78" i="21"/>
  <c r="F73" i="21" s="1"/>
  <c r="AE78" i="21"/>
  <c r="AE73" i="21" s="1"/>
  <c r="AD78" i="21"/>
  <c r="AD89" i="21" s="1"/>
  <c r="AC78" i="21"/>
  <c r="AC89" i="21" s="1"/>
  <c r="AB78" i="21"/>
  <c r="AB89" i="21" s="1"/>
  <c r="E78" i="21"/>
  <c r="E89" i="21" s="1"/>
  <c r="AA78" i="21"/>
  <c r="AA73" i="21" s="1"/>
  <c r="Z78" i="21"/>
  <c r="Z73" i="21" s="1"/>
  <c r="Y78" i="21"/>
  <c r="Y73" i="21" s="1"/>
  <c r="X78" i="21"/>
  <c r="X89" i="21" s="1"/>
  <c r="D78" i="21"/>
  <c r="D89" i="21" s="1"/>
  <c r="C78" i="21"/>
  <c r="C89" i="21" s="1"/>
  <c r="AG59" i="9"/>
  <c r="AF70" i="9"/>
  <c r="AF71" i="9"/>
  <c r="AF69" i="9"/>
  <c r="Z22" i="6"/>
  <c r="AA22" i="6"/>
  <c r="AB22" i="6"/>
  <c r="AC22" i="6"/>
  <c r="AF75" i="9"/>
  <c r="AF74" i="9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B22" i="6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B12" i="4"/>
  <c r="B22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B20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B12" i="2"/>
  <c r="Z6" i="25"/>
  <c r="Y6" i="25"/>
  <c r="X6" i="25"/>
  <c r="W6" i="25"/>
  <c r="V6" i="25"/>
  <c r="U6" i="25"/>
  <c r="T6" i="25"/>
  <c r="S6" i="25"/>
  <c r="R6" i="25"/>
  <c r="Q6" i="25"/>
  <c r="P6" i="25"/>
  <c r="O6" i="25"/>
  <c r="N6" i="25"/>
  <c r="M6" i="25"/>
  <c r="L6" i="25"/>
  <c r="K6" i="25"/>
  <c r="J6" i="25"/>
  <c r="I6" i="25"/>
  <c r="H6" i="25"/>
  <c r="G6" i="25"/>
  <c r="F6" i="25"/>
  <c r="E6" i="25"/>
  <c r="D6" i="25"/>
  <c r="C6" i="25"/>
  <c r="B6" i="25"/>
  <c r="AP54" i="23"/>
  <c r="AO54" i="23"/>
  <c r="AN54" i="23"/>
  <c r="AM54" i="23"/>
  <c r="AH54" i="23"/>
  <c r="AG54" i="23"/>
  <c r="AC54" i="23"/>
  <c r="AB54" i="23"/>
  <c r="W54" i="23"/>
  <c r="V54" i="23"/>
  <c r="U54" i="23"/>
  <c r="T54" i="23"/>
  <c r="O54" i="23"/>
  <c r="N54" i="23"/>
  <c r="M54" i="23"/>
  <c r="L54" i="23"/>
  <c r="G54" i="23"/>
  <c r="F54" i="23"/>
  <c r="E54" i="23"/>
  <c r="D54" i="23"/>
  <c r="O52" i="23"/>
  <c r="O40" i="23"/>
  <c r="J40" i="23"/>
  <c r="E40" i="23"/>
  <c r="O39" i="23"/>
  <c r="AR37" i="23"/>
  <c r="AQ37" i="23"/>
  <c r="AP37" i="23"/>
  <c r="AO37" i="23"/>
  <c r="AN37" i="23"/>
  <c r="AM37" i="23"/>
  <c r="AL37" i="23"/>
  <c r="AK37" i="23"/>
  <c r="AJ37" i="23"/>
  <c r="AI37" i="23"/>
  <c r="AH37" i="23"/>
  <c r="AG37" i="23"/>
  <c r="AC37" i="23"/>
  <c r="AB37" i="23"/>
  <c r="AA37" i="23"/>
  <c r="Z37" i="23"/>
  <c r="Y37" i="23"/>
  <c r="X37" i="23"/>
  <c r="W37" i="23"/>
  <c r="V37" i="23"/>
  <c r="U37" i="23"/>
  <c r="T37" i="23"/>
  <c r="S37" i="23"/>
  <c r="R37" i="23"/>
  <c r="Q37" i="23"/>
  <c r="P37" i="23"/>
  <c r="O37" i="23"/>
  <c r="N37" i="23"/>
  <c r="M37" i="23"/>
  <c r="L37" i="23"/>
  <c r="K37" i="23"/>
  <c r="J37" i="23"/>
  <c r="I37" i="23"/>
  <c r="H37" i="23"/>
  <c r="G37" i="23"/>
  <c r="F37" i="23"/>
  <c r="E37" i="23"/>
  <c r="D37" i="23"/>
  <c r="C37" i="23"/>
  <c r="B37" i="23"/>
  <c r="AR21" i="23"/>
  <c r="AR54" i="23" s="1"/>
  <c r="AQ21" i="23"/>
  <c r="AQ54" i="23" s="1"/>
  <c r="AP21" i="23"/>
  <c r="AO21" i="23"/>
  <c r="AN21" i="23"/>
  <c r="AM21" i="23"/>
  <c r="AL21" i="23"/>
  <c r="AL54" i="23" s="1"/>
  <c r="AK21" i="23"/>
  <c r="AK54" i="23" s="1"/>
  <c r="AJ21" i="23"/>
  <c r="AJ54" i="23" s="1"/>
  <c r="AI21" i="23"/>
  <c r="AI54" i="23" s="1"/>
  <c r="AH21" i="23"/>
  <c r="AG21" i="23"/>
  <c r="AC21" i="23"/>
  <c r="AB21" i="23"/>
  <c r="AA21" i="23"/>
  <c r="AA54" i="23" s="1"/>
  <c r="Z21" i="23"/>
  <c r="Z54" i="23" s="1"/>
  <c r="Y21" i="23"/>
  <c r="Y54" i="23" s="1"/>
  <c r="X21" i="23"/>
  <c r="X54" i="23" s="1"/>
  <c r="W21" i="23"/>
  <c r="V21" i="23"/>
  <c r="U21" i="23"/>
  <c r="T21" i="23"/>
  <c r="S21" i="23"/>
  <c r="S54" i="23" s="1"/>
  <c r="R21" i="23"/>
  <c r="R54" i="23" s="1"/>
  <c r="R56" i="23" s="1"/>
  <c r="Q21" i="23"/>
  <c r="Q54" i="23" s="1"/>
  <c r="P21" i="23"/>
  <c r="P54" i="23" s="1"/>
  <c r="O21" i="23"/>
  <c r="N21" i="23"/>
  <c r="M21" i="23"/>
  <c r="L21" i="23"/>
  <c r="K21" i="23"/>
  <c r="K54" i="23" s="1"/>
  <c r="J21" i="23"/>
  <c r="J54" i="23" s="1"/>
  <c r="I21" i="23"/>
  <c r="I54" i="23" s="1"/>
  <c r="H21" i="23"/>
  <c r="H54" i="23" s="1"/>
  <c r="G21" i="23"/>
  <c r="F21" i="23"/>
  <c r="E21" i="23"/>
  <c r="D21" i="23"/>
  <c r="C21" i="23"/>
  <c r="C54" i="23" s="1"/>
  <c r="B21" i="23"/>
  <c r="B54" i="23" s="1"/>
  <c r="AC35" i="24"/>
  <c r="AB35" i="24"/>
  <c r="AA35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AC28" i="24"/>
  <c r="AC38" i="24" s="1"/>
  <c r="AB28" i="24"/>
  <c r="AB38" i="24" s="1"/>
  <c r="AA28" i="24"/>
  <c r="AA38" i="24" s="1"/>
  <c r="Z28" i="24"/>
  <c r="Z38" i="24" s="1"/>
  <c r="Y28" i="24"/>
  <c r="Y38" i="24" s="1"/>
  <c r="X28" i="24"/>
  <c r="X38" i="24" s="1"/>
  <c r="W28" i="24"/>
  <c r="W38" i="24" s="1"/>
  <c r="V28" i="24"/>
  <c r="V38" i="24" s="1"/>
  <c r="U28" i="24"/>
  <c r="U38" i="24" s="1"/>
  <c r="T28" i="24"/>
  <c r="T38" i="24" s="1"/>
  <c r="S28" i="24"/>
  <c r="S38" i="24" s="1"/>
  <c r="R28" i="24"/>
  <c r="R38" i="24" s="1"/>
  <c r="Q28" i="24"/>
  <c r="Q38" i="24" s="1"/>
  <c r="P28" i="24"/>
  <c r="P38" i="24" s="1"/>
  <c r="O28" i="24"/>
  <c r="O38" i="24" s="1"/>
  <c r="N28" i="24"/>
  <c r="N38" i="24" s="1"/>
  <c r="M28" i="24"/>
  <c r="M38" i="24" s="1"/>
  <c r="L28" i="24"/>
  <c r="L38" i="24" s="1"/>
  <c r="K28" i="24"/>
  <c r="K38" i="24" s="1"/>
  <c r="J28" i="24"/>
  <c r="J38" i="24" s="1"/>
  <c r="I28" i="24"/>
  <c r="I38" i="24" s="1"/>
  <c r="H28" i="24"/>
  <c r="H38" i="24" s="1"/>
  <c r="G28" i="24"/>
  <c r="G38" i="24" s="1"/>
  <c r="F28" i="24"/>
  <c r="F38" i="24" s="1"/>
  <c r="E28" i="24"/>
  <c r="E38" i="24" s="1"/>
  <c r="D28" i="24"/>
  <c r="D38" i="24" s="1"/>
  <c r="C28" i="24"/>
  <c r="C38" i="24" s="1"/>
  <c r="B28" i="24"/>
  <c r="B38" i="24" s="1"/>
  <c r="AC19" i="24"/>
  <c r="AB19" i="24"/>
  <c r="AA19" i="24"/>
  <c r="Z19" i="24"/>
  <c r="Z45" i="24" s="1"/>
  <c r="U19" i="24"/>
  <c r="U45" i="24" s="1"/>
  <c r="T19" i="24"/>
  <c r="T45" i="24" s="1"/>
  <c r="S19" i="24"/>
  <c r="S45" i="24" s="1"/>
  <c r="R19" i="24"/>
  <c r="R45" i="24" s="1"/>
  <c r="M19" i="24"/>
  <c r="L19" i="24"/>
  <c r="K19" i="24"/>
  <c r="J19" i="24"/>
  <c r="J45" i="24" s="1"/>
  <c r="I17" i="24"/>
  <c r="H17" i="24"/>
  <c r="G17" i="24"/>
  <c r="F17" i="24"/>
  <c r="E17" i="24"/>
  <c r="E19" i="24" s="1"/>
  <c r="D17" i="24"/>
  <c r="D19" i="24" s="1"/>
  <c r="C17" i="24"/>
  <c r="C19" i="24" s="1"/>
  <c r="B17" i="24"/>
  <c r="B19" i="24" s="1"/>
  <c r="B45" i="24" s="1"/>
  <c r="AC9" i="24"/>
  <c r="AB9" i="24"/>
  <c r="AA9" i="24"/>
  <c r="Z9" i="24"/>
  <c r="Y9" i="24"/>
  <c r="Y19" i="24" s="1"/>
  <c r="Y45" i="24" s="1"/>
  <c r="X9" i="24"/>
  <c r="X19" i="24" s="1"/>
  <c r="X45" i="24" s="1"/>
  <c r="W9" i="24"/>
  <c r="W19" i="24" s="1"/>
  <c r="W45" i="24" s="1"/>
  <c r="V9" i="24"/>
  <c r="V19" i="24" s="1"/>
  <c r="V45" i="24" s="1"/>
  <c r="U9" i="24"/>
  <c r="T9" i="24"/>
  <c r="S9" i="24"/>
  <c r="R9" i="24"/>
  <c r="Q9" i="24"/>
  <c r="Q19" i="24" s="1"/>
  <c r="Q45" i="24" s="1"/>
  <c r="P9" i="24"/>
  <c r="P19" i="24" s="1"/>
  <c r="P45" i="24" s="1"/>
  <c r="O9" i="24"/>
  <c r="O19" i="24" s="1"/>
  <c r="O45" i="24" s="1"/>
  <c r="N9" i="24"/>
  <c r="N19" i="24" s="1"/>
  <c r="N45" i="24" s="1"/>
  <c r="M9" i="24"/>
  <c r="L9" i="24"/>
  <c r="K9" i="24"/>
  <c r="J9" i="24"/>
  <c r="I9" i="24"/>
  <c r="I19" i="24" s="1"/>
  <c r="I45" i="24" s="1"/>
  <c r="H9" i="24"/>
  <c r="H19" i="24" s="1"/>
  <c r="H45" i="24" s="1"/>
  <c r="G9" i="24"/>
  <c r="G19" i="24" s="1"/>
  <c r="G45" i="24" s="1"/>
  <c r="F9" i="24"/>
  <c r="F19" i="24" s="1"/>
  <c r="F45" i="24" s="1"/>
  <c r="E9" i="24"/>
  <c r="D9" i="24"/>
  <c r="C9" i="24"/>
  <c r="B9" i="24"/>
  <c r="AB169" i="9" l="1"/>
  <c r="T169" i="9"/>
  <c r="L169" i="9"/>
  <c r="S169" i="9"/>
  <c r="W169" i="9"/>
  <c r="O169" i="9"/>
  <c r="AD169" i="9"/>
  <c r="V169" i="9"/>
  <c r="N169" i="9"/>
  <c r="N159" i="9"/>
  <c r="H159" i="9"/>
  <c r="AD159" i="9"/>
  <c r="G159" i="9"/>
  <c r="G160" i="9" s="1"/>
  <c r="X159" i="9"/>
  <c r="X160" i="9" s="1"/>
  <c r="F159" i="9"/>
  <c r="F160" i="9" s="1"/>
  <c r="W159" i="9"/>
  <c r="W160" i="9" s="1"/>
  <c r="V159" i="9"/>
  <c r="P159" i="9"/>
  <c r="E169" i="9"/>
  <c r="G169" i="9"/>
  <c r="O159" i="9"/>
  <c r="O160" i="9" s="1"/>
  <c r="K169" i="9"/>
  <c r="Y159" i="9"/>
  <c r="Y160" i="9" s="1"/>
  <c r="Q159" i="9"/>
  <c r="I159" i="9"/>
  <c r="C159" i="9"/>
  <c r="C160" i="9" s="1"/>
  <c r="AC169" i="9"/>
  <c r="U169" i="9"/>
  <c r="M169" i="9"/>
  <c r="D169" i="9"/>
  <c r="Y165" i="9"/>
  <c r="I165" i="9"/>
  <c r="AB159" i="9"/>
  <c r="T159" i="9"/>
  <c r="L159" i="9"/>
  <c r="D159" i="9"/>
  <c r="C169" i="9"/>
  <c r="AC159" i="9"/>
  <c r="U159" i="9"/>
  <c r="U160" i="9" s="1"/>
  <c r="M159" i="9"/>
  <c r="E159" i="9"/>
  <c r="AA169" i="9"/>
  <c r="AF127" i="9"/>
  <c r="AA159" i="9"/>
  <c r="AA160" i="9" s="1"/>
  <c r="S159" i="9"/>
  <c r="K159" i="9"/>
  <c r="K160" i="9" s="1"/>
  <c r="Y169" i="9"/>
  <c r="I169" i="9"/>
  <c r="W165" i="9"/>
  <c r="O165" i="9"/>
  <c r="Z159" i="9"/>
  <c r="Z160" i="9" s="1"/>
  <c r="R159" i="9"/>
  <c r="R160" i="9" s="1"/>
  <c r="J159" i="9"/>
  <c r="M165" i="9"/>
  <c r="Q165" i="9"/>
  <c r="AC165" i="9"/>
  <c r="U165" i="9"/>
  <c r="T165" i="9"/>
  <c r="L165" i="9"/>
  <c r="S165" i="9"/>
  <c r="Z165" i="9"/>
  <c r="R165" i="9"/>
  <c r="J165" i="9"/>
  <c r="X165" i="9"/>
  <c r="P165" i="9"/>
  <c r="H165" i="9"/>
  <c r="AD165" i="9"/>
  <c r="V165" i="9"/>
  <c r="N165" i="9"/>
  <c r="E165" i="9"/>
  <c r="L137" i="21"/>
  <c r="AB165" i="9"/>
  <c r="D145" i="32"/>
  <c r="D66" i="32"/>
  <c r="B92" i="32"/>
  <c r="D92" i="32" s="1"/>
  <c r="D153" i="32"/>
  <c r="C93" i="32"/>
  <c r="D85" i="32"/>
  <c r="D56" i="32"/>
  <c r="B93" i="32"/>
  <c r="D93" i="32" s="1"/>
  <c r="B166" i="32"/>
  <c r="D166" i="32" s="1"/>
  <c r="F225" i="9"/>
  <c r="N225" i="9"/>
  <c r="V225" i="9"/>
  <c r="AD225" i="9"/>
  <c r="E225" i="9"/>
  <c r="M225" i="9"/>
  <c r="U225" i="9"/>
  <c r="AC225" i="9"/>
  <c r="J206" i="9"/>
  <c r="R206" i="9"/>
  <c r="Z206" i="9"/>
  <c r="C206" i="9"/>
  <c r="K206" i="9"/>
  <c r="S206" i="9"/>
  <c r="AA206" i="9"/>
  <c r="E206" i="9"/>
  <c r="M206" i="9"/>
  <c r="U206" i="9"/>
  <c r="AC206" i="9"/>
  <c r="H225" i="9"/>
  <c r="X225" i="9"/>
  <c r="Q225" i="9"/>
  <c r="W206" i="9"/>
  <c r="H206" i="9"/>
  <c r="P206" i="9"/>
  <c r="X206" i="9"/>
  <c r="C225" i="9"/>
  <c r="K225" i="9"/>
  <c r="S225" i="9"/>
  <c r="AA225" i="9"/>
  <c r="I225" i="9"/>
  <c r="Y225" i="9"/>
  <c r="R225" i="9"/>
  <c r="G206" i="9"/>
  <c r="Z225" i="9"/>
  <c r="I206" i="9"/>
  <c r="Q206" i="9"/>
  <c r="Y206" i="9"/>
  <c r="D225" i="9"/>
  <c r="L225" i="9"/>
  <c r="T225" i="9"/>
  <c r="AB225" i="9"/>
  <c r="G225" i="9"/>
  <c r="O225" i="9"/>
  <c r="W225" i="9"/>
  <c r="P225" i="9"/>
  <c r="O206" i="9"/>
  <c r="J225" i="9"/>
  <c r="F206" i="9"/>
  <c r="N206" i="9"/>
  <c r="V206" i="9"/>
  <c r="AD206" i="9"/>
  <c r="D206" i="9"/>
  <c r="L206" i="9"/>
  <c r="T206" i="9"/>
  <c r="AB206" i="9"/>
  <c r="V95" i="9"/>
  <c r="V83" i="9" s="1"/>
  <c r="K131" i="9"/>
  <c r="K122" i="9" s="1"/>
  <c r="K120" i="9" s="1"/>
  <c r="AF124" i="9"/>
  <c r="AF129" i="9"/>
  <c r="H95" i="9"/>
  <c r="H83" i="9" s="1"/>
  <c r="P95" i="9"/>
  <c r="P83" i="9" s="1"/>
  <c r="X95" i="9"/>
  <c r="X83" i="9" s="1"/>
  <c r="Q95" i="9"/>
  <c r="Q83" i="9" s="1"/>
  <c r="R131" i="9"/>
  <c r="R122" i="9" s="1"/>
  <c r="R120" i="9" s="1"/>
  <c r="F95" i="9"/>
  <c r="F83" i="9" s="1"/>
  <c r="C95" i="9"/>
  <c r="C83" i="9" s="1"/>
  <c r="K95" i="9"/>
  <c r="K83" i="9" s="1"/>
  <c r="S95" i="9"/>
  <c r="S83" i="9" s="1"/>
  <c r="AA95" i="9"/>
  <c r="AA83" i="9" s="1"/>
  <c r="G95" i="9"/>
  <c r="G83" i="9" s="1"/>
  <c r="O95" i="9"/>
  <c r="O83" i="9" s="1"/>
  <c r="W95" i="9"/>
  <c r="W83" i="9" s="1"/>
  <c r="AF123" i="9"/>
  <c r="E131" i="9"/>
  <c r="E122" i="9" s="1"/>
  <c r="E120" i="9" s="1"/>
  <c r="E118" i="9" s="1"/>
  <c r="E116" i="9" s="1"/>
  <c r="E114" i="9" s="1"/>
  <c r="E179" i="9" s="1"/>
  <c r="M131" i="9"/>
  <c r="M122" i="9" s="1"/>
  <c r="M120" i="9" s="1"/>
  <c r="M118" i="9" s="1"/>
  <c r="M116" i="9" s="1"/>
  <c r="M114" i="9" s="1"/>
  <c r="M179" i="9" s="1"/>
  <c r="U131" i="9"/>
  <c r="U122" i="9" s="1"/>
  <c r="U120" i="9" s="1"/>
  <c r="U118" i="9" s="1"/>
  <c r="U116" i="9" s="1"/>
  <c r="U114" i="9" s="1"/>
  <c r="U179" i="9" s="1"/>
  <c r="AC131" i="9"/>
  <c r="AC122" i="9" s="1"/>
  <c r="AC120" i="9" s="1"/>
  <c r="AC118" i="9" s="1"/>
  <c r="AC116" i="9" s="1"/>
  <c r="AC114" i="9" s="1"/>
  <c r="AC179" i="9" s="1"/>
  <c r="I131" i="9"/>
  <c r="I122" i="9" s="1"/>
  <c r="I120" i="9" s="1"/>
  <c r="Q131" i="9"/>
  <c r="Q122" i="9" s="1"/>
  <c r="Q120" i="9" s="1"/>
  <c r="Y131" i="9"/>
  <c r="Y122" i="9" s="1"/>
  <c r="Y120" i="9" s="1"/>
  <c r="G131" i="9"/>
  <c r="G122" i="9" s="1"/>
  <c r="G120" i="9" s="1"/>
  <c r="G118" i="9" s="1"/>
  <c r="G116" i="9" s="1"/>
  <c r="G114" i="9" s="1"/>
  <c r="G179" i="9" s="1"/>
  <c r="O131" i="9"/>
  <c r="O122" i="9" s="1"/>
  <c r="O120" i="9" s="1"/>
  <c r="O175" i="9" s="1"/>
  <c r="C131" i="9"/>
  <c r="C122" i="9" s="1"/>
  <c r="C120" i="9" s="1"/>
  <c r="C118" i="9" s="1"/>
  <c r="C116" i="9" s="1"/>
  <c r="C114" i="9" s="1"/>
  <c r="C179" i="9" s="1"/>
  <c r="S131" i="9"/>
  <c r="S122" i="9" s="1"/>
  <c r="S120" i="9" s="1"/>
  <c r="AA131" i="9"/>
  <c r="AA122" i="9" s="1"/>
  <c r="AA120" i="9" s="1"/>
  <c r="D131" i="9"/>
  <c r="D122" i="9" s="1"/>
  <c r="D120" i="9" s="1"/>
  <c r="D118" i="9" s="1"/>
  <c r="D116" i="9" s="1"/>
  <c r="D114" i="9" s="1"/>
  <c r="D179" i="9" s="1"/>
  <c r="L131" i="9"/>
  <c r="L122" i="9" s="1"/>
  <c r="L120" i="9" s="1"/>
  <c r="L118" i="9" s="1"/>
  <c r="L116" i="9" s="1"/>
  <c r="L114" i="9" s="1"/>
  <c r="L179" i="9" s="1"/>
  <c r="T131" i="9"/>
  <c r="T122" i="9" s="1"/>
  <c r="T120" i="9" s="1"/>
  <c r="T175" i="9" s="1"/>
  <c r="AB131" i="9"/>
  <c r="AB122" i="9" s="1"/>
  <c r="AB120" i="9" s="1"/>
  <c r="AB175" i="9" s="1"/>
  <c r="H131" i="9"/>
  <c r="H122" i="9" s="1"/>
  <c r="H120" i="9" s="1"/>
  <c r="P131" i="9"/>
  <c r="P122" i="9" s="1"/>
  <c r="P120" i="9" s="1"/>
  <c r="X131" i="9"/>
  <c r="X122" i="9" s="1"/>
  <c r="X120" i="9" s="1"/>
  <c r="AF134" i="9"/>
  <c r="AF72" i="9"/>
  <c r="L73" i="9"/>
  <c r="L79" i="9" s="1"/>
  <c r="T73" i="9"/>
  <c r="T79" i="9" s="1"/>
  <c r="E95" i="9"/>
  <c r="E83" i="9" s="1"/>
  <c r="M95" i="9"/>
  <c r="M83" i="9" s="1"/>
  <c r="U95" i="9"/>
  <c r="U83" i="9" s="1"/>
  <c r="AC95" i="9"/>
  <c r="AC83" i="9" s="1"/>
  <c r="I95" i="9"/>
  <c r="I83" i="9" s="1"/>
  <c r="Y95" i="9"/>
  <c r="Y83" i="9" s="1"/>
  <c r="J131" i="9"/>
  <c r="J122" i="9" s="1"/>
  <c r="J120" i="9" s="1"/>
  <c r="Z131" i="9"/>
  <c r="Z122" i="9" s="1"/>
  <c r="Z120" i="9" s="1"/>
  <c r="AF133" i="9"/>
  <c r="E73" i="9"/>
  <c r="E79" i="9" s="1"/>
  <c r="M73" i="9"/>
  <c r="M76" i="9" s="1"/>
  <c r="N95" i="9"/>
  <c r="N83" i="9" s="1"/>
  <c r="AD95" i="9"/>
  <c r="AD83" i="9" s="1"/>
  <c r="AF125" i="9"/>
  <c r="F131" i="9"/>
  <c r="F122" i="9" s="1"/>
  <c r="F120" i="9" s="1"/>
  <c r="N131" i="9"/>
  <c r="N122" i="9" s="1"/>
  <c r="N120" i="9" s="1"/>
  <c r="N118" i="9" s="1"/>
  <c r="N116" i="9" s="1"/>
  <c r="N114" i="9" s="1"/>
  <c r="N179" i="9" s="1"/>
  <c r="V131" i="9"/>
  <c r="V122" i="9" s="1"/>
  <c r="V120" i="9" s="1"/>
  <c r="V118" i="9" s="1"/>
  <c r="V116" i="9" s="1"/>
  <c r="V114" i="9" s="1"/>
  <c r="V179" i="9" s="1"/>
  <c r="AD131" i="9"/>
  <c r="AD122" i="9" s="1"/>
  <c r="AD120" i="9" s="1"/>
  <c r="AD118" i="9" s="1"/>
  <c r="AD116" i="9" s="1"/>
  <c r="AD114" i="9" s="1"/>
  <c r="AD179" i="9" s="1"/>
  <c r="AF135" i="9"/>
  <c r="W131" i="9"/>
  <c r="W122" i="9" s="1"/>
  <c r="W120" i="9" s="1"/>
  <c r="W118" i="9" s="1"/>
  <c r="W116" i="9" s="1"/>
  <c r="W114" i="9" s="1"/>
  <c r="W179" i="9" s="1"/>
  <c r="AF132" i="9"/>
  <c r="J95" i="9"/>
  <c r="J83" i="9" s="1"/>
  <c r="R95" i="9"/>
  <c r="R83" i="9" s="1"/>
  <c r="Z95" i="9"/>
  <c r="Z83" i="9" s="1"/>
  <c r="AA73" i="9"/>
  <c r="AA76" i="9" s="1"/>
  <c r="K73" i="9"/>
  <c r="K79" i="9" s="1"/>
  <c r="D95" i="9"/>
  <c r="D83" i="9" s="1"/>
  <c r="L95" i="9"/>
  <c r="L83" i="9" s="1"/>
  <c r="T95" i="9"/>
  <c r="T83" i="9" s="1"/>
  <c r="AB95" i="9"/>
  <c r="AB83" i="9" s="1"/>
  <c r="P54" i="21"/>
  <c r="P52" i="21"/>
  <c r="W33" i="21"/>
  <c r="P142" i="21"/>
  <c r="P133" i="21" s="1"/>
  <c r="P131" i="21" s="1"/>
  <c r="P129" i="21" s="1"/>
  <c r="P127" i="21" s="1"/>
  <c r="P125" i="21" s="1"/>
  <c r="P56" i="21"/>
  <c r="V84" i="21"/>
  <c r="V87" i="21" s="1"/>
  <c r="R84" i="21"/>
  <c r="R87" i="21" s="1"/>
  <c r="U84" i="21"/>
  <c r="U87" i="21" s="1"/>
  <c r="R142" i="21"/>
  <c r="R133" i="21" s="1"/>
  <c r="R131" i="21" s="1"/>
  <c r="R129" i="21" s="1"/>
  <c r="R127" i="21" s="1"/>
  <c r="R125" i="21" s="1"/>
  <c r="S84" i="21"/>
  <c r="S87" i="21" s="1"/>
  <c r="P106" i="21"/>
  <c r="P94" i="21" s="1"/>
  <c r="P89" i="21"/>
  <c r="S142" i="21"/>
  <c r="S133" i="21" s="1"/>
  <c r="S131" i="21" s="1"/>
  <c r="S129" i="21" s="1"/>
  <c r="S127" i="21" s="1"/>
  <c r="S125" i="21" s="1"/>
  <c r="Q142" i="21"/>
  <c r="Q133" i="21" s="1"/>
  <c r="Q131" i="21" s="1"/>
  <c r="Q129" i="21" s="1"/>
  <c r="Q127" i="21" s="1"/>
  <c r="Q125" i="21" s="1"/>
  <c r="Q84" i="21"/>
  <c r="Q87" i="21" s="1"/>
  <c r="P84" i="21"/>
  <c r="P87" i="21" s="1"/>
  <c r="T84" i="21"/>
  <c r="T87" i="21" s="1"/>
  <c r="S106" i="21"/>
  <c r="S94" i="21" s="1"/>
  <c r="S89" i="21"/>
  <c r="W55" i="21"/>
  <c r="R106" i="21"/>
  <c r="R94" i="21" s="1"/>
  <c r="R89" i="21"/>
  <c r="W142" i="21"/>
  <c r="W133" i="21" s="1"/>
  <c r="W131" i="21" s="1"/>
  <c r="W129" i="21" s="1"/>
  <c r="W127" i="21" s="1"/>
  <c r="W125" i="21" s="1"/>
  <c r="W106" i="21"/>
  <c r="W94" i="21" s="1"/>
  <c r="Q106" i="21"/>
  <c r="Q94" i="21" s="1"/>
  <c r="Q89" i="21"/>
  <c r="V53" i="21"/>
  <c r="S56" i="21"/>
  <c r="S54" i="21"/>
  <c r="S52" i="21"/>
  <c r="AF84" i="21"/>
  <c r="Z84" i="21"/>
  <c r="U53" i="21"/>
  <c r="R56" i="21"/>
  <c r="R54" i="21"/>
  <c r="R52" i="21"/>
  <c r="T53" i="21"/>
  <c r="Q56" i="21"/>
  <c r="Q54" i="21"/>
  <c r="Q52" i="21"/>
  <c r="W89" i="21"/>
  <c r="V55" i="21"/>
  <c r="V49" i="21"/>
  <c r="U142" i="21"/>
  <c r="U133" i="21" s="1"/>
  <c r="U131" i="21" s="1"/>
  <c r="U129" i="21" s="1"/>
  <c r="U127" i="21" s="1"/>
  <c r="U125" i="21" s="1"/>
  <c r="U106" i="21"/>
  <c r="U94" i="21" s="1"/>
  <c r="U55" i="21"/>
  <c r="U49" i="21"/>
  <c r="R90" i="21"/>
  <c r="R55" i="21"/>
  <c r="V142" i="21"/>
  <c r="V133" i="21" s="1"/>
  <c r="V131" i="21" s="1"/>
  <c r="V129" i="21" s="1"/>
  <c r="V127" i="21" s="1"/>
  <c r="V125" i="21" s="1"/>
  <c r="S53" i="21"/>
  <c r="T142" i="21"/>
  <c r="T133" i="21" s="1"/>
  <c r="T131" i="21" s="1"/>
  <c r="T129" i="21" s="1"/>
  <c r="T127" i="21" s="1"/>
  <c r="T125" i="21" s="1"/>
  <c r="T106" i="21"/>
  <c r="T94" i="21" s="1"/>
  <c r="T55" i="21"/>
  <c r="T49" i="21"/>
  <c r="Q55" i="21"/>
  <c r="W49" i="21"/>
  <c r="V106" i="21"/>
  <c r="V94" i="21" s="1"/>
  <c r="W84" i="21"/>
  <c r="W90" i="21" s="1"/>
  <c r="W53" i="21"/>
  <c r="P55" i="21"/>
  <c r="V90" i="21"/>
  <c r="U90" i="21"/>
  <c r="W56" i="21"/>
  <c r="W54" i="21"/>
  <c r="H84" i="21"/>
  <c r="V56" i="21"/>
  <c r="V54" i="21"/>
  <c r="Y84" i="21"/>
  <c r="Y87" i="21" s="1"/>
  <c r="U56" i="21"/>
  <c r="U54" i="21"/>
  <c r="T56" i="21"/>
  <c r="T54" i="21"/>
  <c r="C84" i="21"/>
  <c r="J84" i="21"/>
  <c r="J90" i="21" s="1"/>
  <c r="F84" i="21"/>
  <c r="AD84" i="21"/>
  <c r="I84" i="21"/>
  <c r="AE84" i="21"/>
  <c r="X84" i="21"/>
  <c r="X87" i="21" s="1"/>
  <c r="D84" i="21"/>
  <c r="D87" i="21" s="1"/>
  <c r="AI84" i="21"/>
  <c r="AI87" i="21" s="1"/>
  <c r="AB84" i="21"/>
  <c r="AB87" i="21" s="1"/>
  <c r="G84" i="21"/>
  <c r="G87" i="21" s="1"/>
  <c r="AC84" i="21"/>
  <c r="AH84" i="21"/>
  <c r="AH87" i="21" s="1"/>
  <c r="E84" i="21"/>
  <c r="E87" i="21" s="1"/>
  <c r="AG84" i="21"/>
  <c r="AG87" i="21" s="1"/>
  <c r="AA84" i="21"/>
  <c r="AA87" i="21" s="1"/>
  <c r="AD73" i="21"/>
  <c r="E73" i="21"/>
  <c r="AB73" i="21"/>
  <c r="C73" i="21"/>
  <c r="AF73" i="21"/>
  <c r="AH73" i="21"/>
  <c r="AI73" i="21"/>
  <c r="AC73" i="21"/>
  <c r="G73" i="21"/>
  <c r="D73" i="21"/>
  <c r="H73" i="21"/>
  <c r="X73" i="21"/>
  <c r="I73" i="21"/>
  <c r="D73" i="9"/>
  <c r="T78" i="9"/>
  <c r="U73" i="9"/>
  <c r="E78" i="9"/>
  <c r="I73" i="9"/>
  <c r="Q73" i="9"/>
  <c r="Y73" i="9"/>
  <c r="J73" i="9"/>
  <c r="R73" i="9"/>
  <c r="Z73" i="9"/>
  <c r="C73" i="9"/>
  <c r="C76" i="9" s="1"/>
  <c r="AA78" i="9"/>
  <c r="AB73" i="9"/>
  <c r="L78" i="9"/>
  <c r="F73" i="9"/>
  <c r="N73" i="9"/>
  <c r="V73" i="9"/>
  <c r="AD73" i="9"/>
  <c r="G73" i="9"/>
  <c r="O73" i="9"/>
  <c r="W73" i="9"/>
  <c r="S73" i="9"/>
  <c r="AC73" i="9"/>
  <c r="H73" i="9"/>
  <c r="P73" i="9"/>
  <c r="X73" i="9"/>
  <c r="AF126" i="9"/>
  <c r="AD142" i="21"/>
  <c r="AD133" i="21" s="1"/>
  <c r="AD131" i="21" s="1"/>
  <c r="AD129" i="21" s="1"/>
  <c r="AD127" i="21" s="1"/>
  <c r="AD125" i="21" s="1"/>
  <c r="G106" i="21"/>
  <c r="G94" i="21" s="1"/>
  <c r="AA106" i="21"/>
  <c r="AA94" i="21" s="1"/>
  <c r="X142" i="21"/>
  <c r="X133" i="21" s="1"/>
  <c r="X131" i="21" s="1"/>
  <c r="X129" i="21" s="1"/>
  <c r="X127" i="21" s="1"/>
  <c r="X125" i="21" s="1"/>
  <c r="E106" i="21"/>
  <c r="E94" i="21" s="1"/>
  <c r="AH106" i="21"/>
  <c r="AH94" i="21" s="1"/>
  <c r="H142" i="21"/>
  <c r="H133" i="21" s="1"/>
  <c r="H131" i="21" s="1"/>
  <c r="H129" i="21" s="1"/>
  <c r="H127" i="21" s="1"/>
  <c r="H125" i="21" s="1"/>
  <c r="M142" i="21"/>
  <c r="M133" i="21" s="1"/>
  <c r="M131" i="21" s="1"/>
  <c r="M129" i="21" s="1"/>
  <c r="M127" i="21" s="1"/>
  <c r="M125" i="21" s="1"/>
  <c r="AE142" i="21"/>
  <c r="AE133" i="21" s="1"/>
  <c r="AE131" i="21" s="1"/>
  <c r="AE129" i="21" s="1"/>
  <c r="AE127" i="21" s="1"/>
  <c r="AE125" i="21" s="1"/>
  <c r="I142" i="21"/>
  <c r="I133" i="21" s="1"/>
  <c r="I131" i="21" s="1"/>
  <c r="I129" i="21" s="1"/>
  <c r="I127" i="21" s="1"/>
  <c r="I125" i="21" s="1"/>
  <c r="F142" i="21"/>
  <c r="F133" i="21" s="1"/>
  <c r="F131" i="21" s="1"/>
  <c r="F129" i="21" s="1"/>
  <c r="F127" i="21" s="1"/>
  <c r="F125" i="21" s="1"/>
  <c r="J142" i="21"/>
  <c r="J133" i="21" s="1"/>
  <c r="J131" i="21" s="1"/>
  <c r="J129" i="21" s="1"/>
  <c r="J127" i="21" s="1"/>
  <c r="J125" i="21" s="1"/>
  <c r="Y142" i="21"/>
  <c r="Y133" i="21" s="1"/>
  <c r="Y131" i="21" s="1"/>
  <c r="Y129" i="21" s="1"/>
  <c r="Y127" i="21" s="1"/>
  <c r="Y125" i="21" s="1"/>
  <c r="C106" i="21"/>
  <c r="C94" i="21" s="1"/>
  <c r="Z106" i="21"/>
  <c r="Z94" i="21" s="1"/>
  <c r="AF106" i="21"/>
  <c r="AF94" i="21" s="1"/>
  <c r="C142" i="21"/>
  <c r="C133" i="21" s="1"/>
  <c r="C131" i="21" s="1"/>
  <c r="C129" i="21" s="1"/>
  <c r="C127" i="21" s="1"/>
  <c r="C125" i="21" s="1"/>
  <c r="Z142" i="21"/>
  <c r="Z133" i="21" s="1"/>
  <c r="Z131" i="21" s="1"/>
  <c r="Z129" i="21" s="1"/>
  <c r="Z127" i="21" s="1"/>
  <c r="Z125" i="21" s="1"/>
  <c r="AF142" i="21"/>
  <c r="AF133" i="21" s="1"/>
  <c r="AF131" i="21" s="1"/>
  <c r="AF129" i="21" s="1"/>
  <c r="AF127" i="21" s="1"/>
  <c r="AF125" i="21" s="1"/>
  <c r="AB106" i="21"/>
  <c r="AB94" i="21" s="1"/>
  <c r="AI106" i="21"/>
  <c r="AI94" i="21" s="1"/>
  <c r="AB142" i="21"/>
  <c r="AB133" i="21" s="1"/>
  <c r="AB131" i="21" s="1"/>
  <c r="AB129" i="21" s="1"/>
  <c r="AB127" i="21" s="1"/>
  <c r="AB125" i="21" s="1"/>
  <c r="AG106" i="21"/>
  <c r="AG94" i="21" s="1"/>
  <c r="D106" i="21"/>
  <c r="D94" i="21" s="1"/>
  <c r="AD106" i="21"/>
  <c r="AD94" i="21" s="1"/>
  <c r="D142" i="21"/>
  <c r="D133" i="21" s="1"/>
  <c r="D131" i="21" s="1"/>
  <c r="D129" i="21" s="1"/>
  <c r="D127" i="21" s="1"/>
  <c r="D125" i="21" s="1"/>
  <c r="AG142" i="21"/>
  <c r="AG133" i="21" s="1"/>
  <c r="AG131" i="21" s="1"/>
  <c r="AG129" i="21" s="1"/>
  <c r="AG127" i="21" s="1"/>
  <c r="AG125" i="21" s="1"/>
  <c r="AC142" i="21"/>
  <c r="AC133" i="21" s="1"/>
  <c r="AC131" i="21" s="1"/>
  <c r="AC129" i="21" s="1"/>
  <c r="AC127" i="21" s="1"/>
  <c r="AC125" i="21" s="1"/>
  <c r="G142" i="21"/>
  <c r="G133" i="21" s="1"/>
  <c r="G131" i="21" s="1"/>
  <c r="G129" i="21" s="1"/>
  <c r="G127" i="21" s="1"/>
  <c r="G125" i="21" s="1"/>
  <c r="AI142" i="21"/>
  <c r="AI133" i="21" s="1"/>
  <c r="AI131" i="21" s="1"/>
  <c r="AI129" i="21" s="1"/>
  <c r="AI127" i="21" s="1"/>
  <c r="AI125" i="21" s="1"/>
  <c r="AA142" i="21"/>
  <c r="AA133" i="21" s="1"/>
  <c r="AA131" i="21" s="1"/>
  <c r="AA129" i="21" s="1"/>
  <c r="AA127" i="21" s="1"/>
  <c r="AA125" i="21" s="1"/>
  <c r="AC106" i="21"/>
  <c r="AC94" i="21" s="1"/>
  <c r="Y106" i="21"/>
  <c r="Y94" i="21" s="1"/>
  <c r="F106" i="21"/>
  <c r="F94" i="21" s="1"/>
  <c r="J94" i="21"/>
  <c r="C87" i="21"/>
  <c r="Z89" i="21"/>
  <c r="AE89" i="21"/>
  <c r="I87" i="21"/>
  <c r="H106" i="21"/>
  <c r="H94" i="21" s="1"/>
  <c r="E142" i="21"/>
  <c r="E133" i="21" s="1"/>
  <c r="E131" i="21" s="1"/>
  <c r="E129" i="21" s="1"/>
  <c r="E127" i="21" s="1"/>
  <c r="E125" i="21" s="1"/>
  <c r="AH142" i="21"/>
  <c r="AH133" i="21" s="1"/>
  <c r="AH131" i="21" s="1"/>
  <c r="AH129" i="21" s="1"/>
  <c r="AH127" i="21" s="1"/>
  <c r="AH125" i="21" s="1"/>
  <c r="X106" i="21"/>
  <c r="X94" i="21" s="1"/>
  <c r="AE106" i="21"/>
  <c r="AE94" i="21" s="1"/>
  <c r="I106" i="21"/>
  <c r="I94" i="21" s="1"/>
  <c r="AA89" i="21"/>
  <c r="AG89" i="21"/>
  <c r="Y89" i="21"/>
  <c r="F89" i="21"/>
  <c r="J89" i="21"/>
  <c r="B46" i="24"/>
  <c r="J46" i="24"/>
  <c r="R46" i="24"/>
  <c r="Z46" i="24"/>
  <c r="C45" i="24"/>
  <c r="C46" i="24" s="1"/>
  <c r="K45" i="24"/>
  <c r="K46" i="24" s="1"/>
  <c r="AA45" i="24"/>
  <c r="AA46" i="24" s="1"/>
  <c r="G46" i="24"/>
  <c r="O46" i="24"/>
  <c r="W46" i="24"/>
  <c r="S46" i="24"/>
  <c r="D46" i="24"/>
  <c r="T46" i="24"/>
  <c r="M46" i="24"/>
  <c r="AC46" i="24"/>
  <c r="F46" i="24"/>
  <c r="V46" i="24"/>
  <c r="D45" i="24"/>
  <c r="L45" i="24"/>
  <c r="L46" i="24" s="1"/>
  <c r="AB45" i="24"/>
  <c r="AB46" i="24" s="1"/>
  <c r="H46" i="24"/>
  <c r="P46" i="24"/>
  <c r="X46" i="24"/>
  <c r="E46" i="24"/>
  <c r="U46" i="24"/>
  <c r="N46" i="24"/>
  <c r="E45" i="24"/>
  <c r="M45" i="24"/>
  <c r="AC45" i="24"/>
  <c r="I46" i="24"/>
  <c r="Q46" i="24"/>
  <c r="Y46" i="24"/>
  <c r="D6" i="21"/>
  <c r="D5" i="21"/>
  <c r="C65" i="21"/>
  <c r="C52" i="21" s="1"/>
  <c r="D65" i="21"/>
  <c r="D54" i="21" s="1"/>
  <c r="X65" i="21"/>
  <c r="X53" i="21" s="1"/>
  <c r="Y65" i="21"/>
  <c r="Y52" i="21" s="1"/>
  <c r="Z65" i="21"/>
  <c r="Z55" i="21" s="1"/>
  <c r="AA65" i="21"/>
  <c r="AA54" i="21" s="1"/>
  <c r="E65" i="21"/>
  <c r="E56" i="21" s="1"/>
  <c r="AB65" i="21"/>
  <c r="AB53" i="21" s="1"/>
  <c r="AC65" i="21"/>
  <c r="AC53" i="21" s="1"/>
  <c r="AD65" i="21"/>
  <c r="AD54" i="21" s="1"/>
  <c r="AE65" i="21"/>
  <c r="F65" i="21"/>
  <c r="F52" i="21" s="1"/>
  <c r="AF65" i="21"/>
  <c r="AF54" i="21" s="1"/>
  <c r="AG65" i="21"/>
  <c r="AG56" i="21" s="1"/>
  <c r="AH65" i="21"/>
  <c r="AH56" i="21" s="1"/>
  <c r="AI65" i="21"/>
  <c r="AI53" i="21" s="1"/>
  <c r="G65" i="21"/>
  <c r="G53" i="21" s="1"/>
  <c r="H65" i="21"/>
  <c r="H52" i="21" s="1"/>
  <c r="I65" i="21"/>
  <c r="I54" i="21" s="1"/>
  <c r="J65" i="21"/>
  <c r="J56" i="21" s="1"/>
  <c r="AB41" i="21"/>
  <c r="AC41" i="21"/>
  <c r="AD41" i="21"/>
  <c r="AE41" i="21"/>
  <c r="F41" i="21"/>
  <c r="AF41" i="21"/>
  <c r="AG41" i="21"/>
  <c r="AH41" i="21"/>
  <c r="AI41" i="21"/>
  <c r="G41" i="21"/>
  <c r="H41" i="21"/>
  <c r="I41" i="21"/>
  <c r="J41" i="21"/>
  <c r="D41" i="21"/>
  <c r="X41" i="21"/>
  <c r="Y41" i="21"/>
  <c r="Z41" i="21"/>
  <c r="AA41" i="21"/>
  <c r="E41" i="21"/>
  <c r="C41" i="21"/>
  <c r="D64" i="9"/>
  <c r="D54" i="9" s="1"/>
  <c r="E64" i="9"/>
  <c r="E52" i="9" s="1"/>
  <c r="F64" i="9"/>
  <c r="F52" i="9" s="1"/>
  <c r="G64" i="9"/>
  <c r="G54" i="9" s="1"/>
  <c r="H64" i="9"/>
  <c r="H53" i="9" s="1"/>
  <c r="I64" i="9"/>
  <c r="I55" i="9" s="1"/>
  <c r="J64" i="9"/>
  <c r="J55" i="9" s="1"/>
  <c r="K64" i="9"/>
  <c r="K54" i="9" s="1"/>
  <c r="L64" i="9"/>
  <c r="L54" i="9" s="1"/>
  <c r="M64" i="9"/>
  <c r="M52" i="9" s="1"/>
  <c r="N64" i="9"/>
  <c r="N52" i="9" s="1"/>
  <c r="O64" i="9"/>
  <c r="O53" i="9" s="1"/>
  <c r="P64" i="9"/>
  <c r="P55" i="9" s="1"/>
  <c r="Q64" i="9"/>
  <c r="Q55" i="9" s="1"/>
  <c r="R64" i="9"/>
  <c r="R55" i="9" s="1"/>
  <c r="S64" i="9"/>
  <c r="S55" i="9" s="1"/>
  <c r="T64" i="9"/>
  <c r="T55" i="9" s="1"/>
  <c r="U64" i="9"/>
  <c r="U53" i="9" s="1"/>
  <c r="V64" i="9"/>
  <c r="V53" i="9" s="1"/>
  <c r="W64" i="9"/>
  <c r="W54" i="9" s="1"/>
  <c r="X64" i="9"/>
  <c r="X54" i="9" s="1"/>
  <c r="Y64" i="9"/>
  <c r="Y55" i="9" s="1"/>
  <c r="Z64" i="9"/>
  <c r="Z55" i="9" s="1"/>
  <c r="AA64" i="9"/>
  <c r="AA54" i="9" s="1"/>
  <c r="AB64" i="9"/>
  <c r="AB54" i="9" s="1"/>
  <c r="AC64" i="9"/>
  <c r="AC55" i="9" s="1"/>
  <c r="AD64" i="9"/>
  <c r="AD55" i="9" s="1"/>
  <c r="C64" i="9"/>
  <c r="C54" i="9" s="1"/>
  <c r="C40" i="9"/>
  <c r="AC44" i="21"/>
  <c r="AD44" i="21"/>
  <c r="AE44" i="21"/>
  <c r="F44" i="21"/>
  <c r="AF44" i="21"/>
  <c r="AG44" i="21"/>
  <c r="AH44" i="21"/>
  <c r="AI44" i="21"/>
  <c r="G44" i="21"/>
  <c r="H44" i="21"/>
  <c r="I44" i="21"/>
  <c r="J44" i="21"/>
  <c r="AC45" i="21"/>
  <c r="AD45" i="21"/>
  <c r="AE45" i="21"/>
  <c r="F45" i="21"/>
  <c r="AF45" i="21"/>
  <c r="AG45" i="21"/>
  <c r="AH45" i="21"/>
  <c r="AI45" i="21"/>
  <c r="G45" i="21"/>
  <c r="H45" i="21"/>
  <c r="I45" i="21"/>
  <c r="J45" i="21"/>
  <c r="AC46" i="21"/>
  <c r="AD46" i="21"/>
  <c r="AE46" i="21"/>
  <c r="F46" i="21"/>
  <c r="AF46" i="21"/>
  <c r="AG46" i="21"/>
  <c r="AH46" i="21"/>
  <c r="AI46" i="21"/>
  <c r="G46" i="21"/>
  <c r="H46" i="21"/>
  <c r="I46" i="21"/>
  <c r="J46" i="21"/>
  <c r="AC47" i="21"/>
  <c r="AD47" i="21"/>
  <c r="AE47" i="21"/>
  <c r="F47" i="21"/>
  <c r="AF47" i="21"/>
  <c r="AG47" i="21"/>
  <c r="AH47" i="21"/>
  <c r="AI47" i="21"/>
  <c r="G47" i="21"/>
  <c r="H47" i="21"/>
  <c r="I47" i="21"/>
  <c r="J47" i="21"/>
  <c r="AC48" i="21"/>
  <c r="AD48" i="21"/>
  <c r="AE48" i="21"/>
  <c r="F48" i="21"/>
  <c r="AF48" i="21"/>
  <c r="AG48" i="21"/>
  <c r="AH48" i="21"/>
  <c r="AI48" i="21"/>
  <c r="G48" i="21"/>
  <c r="H48" i="21"/>
  <c r="I48" i="21"/>
  <c r="J48" i="21"/>
  <c r="D44" i="21"/>
  <c r="X44" i="21"/>
  <c r="Y44" i="21"/>
  <c r="Z44" i="21"/>
  <c r="AA44" i="21"/>
  <c r="E44" i="21"/>
  <c r="AB44" i="21"/>
  <c r="D45" i="21"/>
  <c r="X45" i="21"/>
  <c r="Y45" i="21"/>
  <c r="Z45" i="21"/>
  <c r="AA45" i="21"/>
  <c r="E45" i="21"/>
  <c r="AB45" i="21"/>
  <c r="D46" i="21"/>
  <c r="X46" i="21"/>
  <c r="Y46" i="21"/>
  <c r="Z46" i="21"/>
  <c r="AA46" i="21"/>
  <c r="E46" i="21"/>
  <c r="AB46" i="21"/>
  <c r="D47" i="21"/>
  <c r="X47" i="21"/>
  <c r="Y47" i="21"/>
  <c r="Z47" i="21"/>
  <c r="AA47" i="21"/>
  <c r="E47" i="21"/>
  <c r="AB47" i="21"/>
  <c r="D48" i="21"/>
  <c r="X48" i="21"/>
  <c r="Y48" i="21"/>
  <c r="Z48" i="21"/>
  <c r="AA48" i="21"/>
  <c r="E48" i="21"/>
  <c r="AB48" i="21"/>
  <c r="D40" i="9"/>
  <c r="E40" i="9"/>
  <c r="F40" i="9"/>
  <c r="G40" i="9"/>
  <c r="H40" i="9"/>
  <c r="I40" i="9"/>
  <c r="J40" i="9"/>
  <c r="K40" i="9"/>
  <c r="L40" i="9"/>
  <c r="M40" i="9"/>
  <c r="N40" i="9"/>
  <c r="O40" i="9"/>
  <c r="P40" i="9"/>
  <c r="Q40" i="9"/>
  <c r="R40" i="9"/>
  <c r="S40" i="9"/>
  <c r="T40" i="9"/>
  <c r="U40" i="9"/>
  <c r="V40" i="9"/>
  <c r="W40" i="9"/>
  <c r="X40" i="9"/>
  <c r="Y40" i="9"/>
  <c r="Z40" i="9"/>
  <c r="AA40" i="9"/>
  <c r="AB40" i="9"/>
  <c r="AC40" i="9"/>
  <c r="AD40" i="9"/>
  <c r="AA28" i="21"/>
  <c r="E28" i="21"/>
  <c r="AB28" i="21"/>
  <c r="AC28" i="21"/>
  <c r="AD28" i="21"/>
  <c r="AE28" i="21"/>
  <c r="F28" i="21"/>
  <c r="AF28" i="21"/>
  <c r="AG28" i="21"/>
  <c r="AH28" i="21"/>
  <c r="AI28" i="21"/>
  <c r="G28" i="21"/>
  <c r="H28" i="21"/>
  <c r="I28" i="21"/>
  <c r="J28" i="21"/>
  <c r="AA29" i="21"/>
  <c r="E29" i="21"/>
  <c r="AB29" i="21"/>
  <c r="AC29" i="21"/>
  <c r="AD29" i="21"/>
  <c r="AE29" i="21"/>
  <c r="F29" i="21"/>
  <c r="AF29" i="21"/>
  <c r="AG29" i="21"/>
  <c r="AH29" i="21"/>
  <c r="AI29" i="21"/>
  <c r="G29" i="21"/>
  <c r="H29" i="21"/>
  <c r="I29" i="21"/>
  <c r="J29" i="21"/>
  <c r="AA30" i="21"/>
  <c r="E30" i="21"/>
  <c r="AB30" i="21"/>
  <c r="AC30" i="21"/>
  <c r="AD30" i="21"/>
  <c r="AE30" i="21"/>
  <c r="F30" i="21"/>
  <c r="AF30" i="21"/>
  <c r="AG30" i="21"/>
  <c r="AH30" i="21"/>
  <c r="AI30" i="21"/>
  <c r="G30" i="21"/>
  <c r="H30" i="21"/>
  <c r="I30" i="21"/>
  <c r="J30" i="21"/>
  <c r="AA31" i="21"/>
  <c r="E31" i="21"/>
  <c r="AB31" i="21"/>
  <c r="AC31" i="21"/>
  <c r="AD31" i="21"/>
  <c r="AE31" i="21"/>
  <c r="F31" i="21"/>
  <c r="AF31" i="21"/>
  <c r="AG31" i="21"/>
  <c r="AH31" i="21"/>
  <c r="AI31" i="21"/>
  <c r="G31" i="21"/>
  <c r="H31" i="21"/>
  <c r="I31" i="21"/>
  <c r="J31" i="21"/>
  <c r="AA32" i="21"/>
  <c r="E32" i="21"/>
  <c r="AB32" i="21"/>
  <c r="AC32" i="21"/>
  <c r="AD32" i="21"/>
  <c r="AE32" i="21"/>
  <c r="F32" i="21"/>
  <c r="AF32" i="21"/>
  <c r="AG32" i="21"/>
  <c r="AH32" i="21"/>
  <c r="AI32" i="21"/>
  <c r="G32" i="21"/>
  <c r="H32" i="21"/>
  <c r="I32" i="21"/>
  <c r="J32" i="21"/>
  <c r="D28" i="21"/>
  <c r="X28" i="21"/>
  <c r="Y28" i="21"/>
  <c r="Z28" i="21"/>
  <c r="D29" i="21"/>
  <c r="X29" i="21"/>
  <c r="Y29" i="21"/>
  <c r="Z29" i="21"/>
  <c r="D30" i="21"/>
  <c r="X30" i="21"/>
  <c r="Y30" i="21"/>
  <c r="Z30" i="21"/>
  <c r="D31" i="21"/>
  <c r="X31" i="21"/>
  <c r="Y31" i="21"/>
  <c r="Z31" i="21"/>
  <c r="D32" i="21"/>
  <c r="X32" i="21"/>
  <c r="Y32" i="21"/>
  <c r="Z32" i="21"/>
  <c r="AF66" i="9"/>
  <c r="AF59" i="9"/>
  <c r="AF60" i="9"/>
  <c r="AG60" i="9"/>
  <c r="AF61" i="9"/>
  <c r="AG61" i="9"/>
  <c r="AF62" i="9"/>
  <c r="AG62" i="9"/>
  <c r="AF63" i="9"/>
  <c r="AG63" i="9"/>
  <c r="W47" i="9"/>
  <c r="Z47" i="9"/>
  <c r="Y47" i="9"/>
  <c r="X47" i="9"/>
  <c r="M47" i="9"/>
  <c r="L47" i="9"/>
  <c r="P47" i="9"/>
  <c r="I47" i="9"/>
  <c r="H47" i="9"/>
  <c r="AA46" i="9"/>
  <c r="AD46" i="9"/>
  <c r="AC46" i="9"/>
  <c r="W46" i="9"/>
  <c r="S46" i="9"/>
  <c r="Q46" i="9"/>
  <c r="U46" i="9"/>
  <c r="O46" i="9"/>
  <c r="N46" i="9"/>
  <c r="H46" i="9"/>
  <c r="L46" i="9"/>
  <c r="AD45" i="9"/>
  <c r="AA45" i="9"/>
  <c r="W45" i="9"/>
  <c r="V45" i="9"/>
  <c r="Z45" i="9"/>
  <c r="Y45" i="9"/>
  <c r="S45" i="9"/>
  <c r="R45" i="9"/>
  <c r="Q45" i="9"/>
  <c r="P45" i="9"/>
  <c r="J45" i="9"/>
  <c r="I45" i="9"/>
  <c r="H45" i="9"/>
  <c r="AA44" i="9"/>
  <c r="Z44" i="9"/>
  <c r="AD44" i="9"/>
  <c r="AC44" i="9"/>
  <c r="W44" i="9"/>
  <c r="S44" i="9"/>
  <c r="V44" i="9"/>
  <c r="U44" i="9"/>
  <c r="T44" i="9"/>
  <c r="K44" i="9"/>
  <c r="J44" i="9"/>
  <c r="N44" i="9"/>
  <c r="H44" i="9"/>
  <c r="L44" i="9"/>
  <c r="AA43" i="9"/>
  <c r="W43" i="9"/>
  <c r="Y43" i="9"/>
  <c r="L43" i="9"/>
  <c r="I43" i="9"/>
  <c r="E25" i="21"/>
  <c r="L11" i="9"/>
  <c r="F13" i="21"/>
  <c r="F25" i="21" s="1"/>
  <c r="E11" i="21"/>
  <c r="F11" i="21" s="1"/>
  <c r="G11" i="21" s="1"/>
  <c r="L11" i="21" s="1"/>
  <c r="M11" i="21" s="1"/>
  <c r="E12" i="21"/>
  <c r="F12" i="21" s="1"/>
  <c r="E10" i="21"/>
  <c r="E22" i="21" s="1"/>
  <c r="E16" i="21" s="1"/>
  <c r="L10" i="9"/>
  <c r="D11" i="9"/>
  <c r="D10" i="9"/>
  <c r="E10" i="9"/>
  <c r="F10" i="9"/>
  <c r="G10" i="9"/>
  <c r="H10" i="9"/>
  <c r="I10" i="9"/>
  <c r="J10" i="9"/>
  <c r="K10" i="9"/>
  <c r="E11" i="9"/>
  <c r="F11" i="9"/>
  <c r="G11" i="9"/>
  <c r="H11" i="9"/>
  <c r="I11" i="9"/>
  <c r="J11" i="9"/>
  <c r="K11" i="9"/>
  <c r="D12" i="9"/>
  <c r="E12" i="9"/>
  <c r="F12" i="9"/>
  <c r="G12" i="9"/>
  <c r="H12" i="9"/>
  <c r="I12" i="9"/>
  <c r="J12" i="9"/>
  <c r="K12" i="9"/>
  <c r="L12" i="9"/>
  <c r="C11" i="9"/>
  <c r="C12" i="9"/>
  <c r="C10" i="9"/>
  <c r="H16" i="9"/>
  <c r="H17" i="9"/>
  <c r="L18" i="9"/>
  <c r="K18" i="9"/>
  <c r="J18" i="9"/>
  <c r="I18" i="9"/>
  <c r="H18" i="9"/>
  <c r="L17" i="9"/>
  <c r="K17" i="9"/>
  <c r="J17" i="9"/>
  <c r="I17" i="9"/>
  <c r="L16" i="9"/>
  <c r="K16" i="9"/>
  <c r="J16" i="9"/>
  <c r="I16" i="9"/>
  <c r="D160" i="9"/>
  <c r="E160" i="9"/>
  <c r="H160" i="9"/>
  <c r="I160" i="9"/>
  <c r="J160" i="9"/>
  <c r="L160" i="9"/>
  <c r="M160" i="9"/>
  <c r="N160" i="9"/>
  <c r="P160" i="9"/>
  <c r="Q160" i="9"/>
  <c r="S160" i="9"/>
  <c r="T160" i="9"/>
  <c r="V160" i="9"/>
  <c r="AB160" i="9"/>
  <c r="AC160" i="9"/>
  <c r="AD160" i="9"/>
  <c r="T43" i="9"/>
  <c r="U43" i="9"/>
  <c r="AB43" i="9"/>
  <c r="AC43" i="9"/>
  <c r="X44" i="9"/>
  <c r="Y44" i="9"/>
  <c r="T45" i="9"/>
  <c r="U45" i="9"/>
  <c r="AB45" i="9"/>
  <c r="AC45" i="9"/>
  <c r="X46" i="9"/>
  <c r="Y46" i="9"/>
  <c r="Z46" i="9"/>
  <c r="T47" i="9"/>
  <c r="U47" i="9"/>
  <c r="V47" i="9"/>
  <c r="AA47" i="9"/>
  <c r="AB47" i="9"/>
  <c r="AC47" i="9"/>
  <c r="AD47" i="9"/>
  <c r="J43" i="9"/>
  <c r="K43" i="9"/>
  <c r="O43" i="9"/>
  <c r="R43" i="9"/>
  <c r="I44" i="9"/>
  <c r="P44" i="9"/>
  <c r="Q44" i="9"/>
  <c r="R44" i="9"/>
  <c r="M45" i="9"/>
  <c r="N45" i="9"/>
  <c r="O45" i="9"/>
  <c r="J46" i="9"/>
  <c r="K46" i="9"/>
  <c r="M46" i="9"/>
  <c r="R46" i="9"/>
  <c r="J47" i="9"/>
  <c r="K47" i="9"/>
  <c r="N47" i="9"/>
  <c r="O47" i="9"/>
  <c r="R47" i="9"/>
  <c r="I27" i="9"/>
  <c r="J27" i="9"/>
  <c r="K27" i="9"/>
  <c r="L27" i="9"/>
  <c r="M27" i="9"/>
  <c r="N27" i="9"/>
  <c r="O27" i="9"/>
  <c r="P27" i="9"/>
  <c r="Q27" i="9"/>
  <c r="R27" i="9"/>
  <c r="S27" i="9"/>
  <c r="T27" i="9"/>
  <c r="U27" i="9"/>
  <c r="V27" i="9"/>
  <c r="W27" i="9"/>
  <c r="X27" i="9"/>
  <c r="Y27" i="9"/>
  <c r="Z27" i="9"/>
  <c r="AA27" i="9"/>
  <c r="AB27" i="9"/>
  <c r="AC27" i="9"/>
  <c r="AD27" i="9"/>
  <c r="I28" i="9"/>
  <c r="J28" i="9"/>
  <c r="K28" i="9"/>
  <c r="L28" i="9"/>
  <c r="M28" i="9"/>
  <c r="N28" i="9"/>
  <c r="O28" i="9"/>
  <c r="P28" i="9"/>
  <c r="Q28" i="9"/>
  <c r="R28" i="9"/>
  <c r="S28" i="9"/>
  <c r="T28" i="9"/>
  <c r="U28" i="9"/>
  <c r="V28" i="9"/>
  <c r="W28" i="9"/>
  <c r="X28" i="9"/>
  <c r="Y28" i="9"/>
  <c r="Z28" i="9"/>
  <c r="AA28" i="9"/>
  <c r="AB28" i="9"/>
  <c r="AC28" i="9"/>
  <c r="AD28" i="9"/>
  <c r="I29" i="9"/>
  <c r="J29" i="9"/>
  <c r="K29" i="9"/>
  <c r="L29" i="9"/>
  <c r="M29" i="9"/>
  <c r="N29" i="9"/>
  <c r="O29" i="9"/>
  <c r="P29" i="9"/>
  <c r="Q29" i="9"/>
  <c r="R29" i="9"/>
  <c r="S29" i="9"/>
  <c r="T29" i="9"/>
  <c r="U29" i="9"/>
  <c r="V29" i="9"/>
  <c r="W29" i="9"/>
  <c r="X29" i="9"/>
  <c r="Y29" i="9"/>
  <c r="Z29" i="9"/>
  <c r="AA29" i="9"/>
  <c r="AB29" i="9"/>
  <c r="AC29" i="9"/>
  <c r="AD29" i="9"/>
  <c r="I30" i="9"/>
  <c r="J30" i="9"/>
  <c r="K30" i="9"/>
  <c r="L30" i="9"/>
  <c r="M30" i="9"/>
  <c r="N30" i="9"/>
  <c r="O30" i="9"/>
  <c r="P30" i="9"/>
  <c r="Q30" i="9"/>
  <c r="R30" i="9"/>
  <c r="S30" i="9"/>
  <c r="T30" i="9"/>
  <c r="U30" i="9"/>
  <c r="V30" i="9"/>
  <c r="W30" i="9"/>
  <c r="X30" i="9"/>
  <c r="Y30" i="9"/>
  <c r="Z30" i="9"/>
  <c r="AA30" i="9"/>
  <c r="AB30" i="9"/>
  <c r="AC30" i="9"/>
  <c r="AD30" i="9"/>
  <c r="I31" i="9"/>
  <c r="J31" i="9"/>
  <c r="K31" i="9"/>
  <c r="L31" i="9"/>
  <c r="M31" i="9"/>
  <c r="N31" i="9"/>
  <c r="O31" i="9"/>
  <c r="P31" i="9"/>
  <c r="Q31" i="9"/>
  <c r="R31" i="9"/>
  <c r="S31" i="9"/>
  <c r="T31" i="9"/>
  <c r="U31" i="9"/>
  <c r="V31" i="9"/>
  <c r="W31" i="9"/>
  <c r="X31" i="9"/>
  <c r="Y31" i="9"/>
  <c r="Z31" i="9"/>
  <c r="AA31" i="9"/>
  <c r="AB31" i="9"/>
  <c r="AC31" i="9"/>
  <c r="AD31" i="9"/>
  <c r="H28" i="9"/>
  <c r="H29" i="9"/>
  <c r="H30" i="9"/>
  <c r="H31" i="9"/>
  <c r="H27" i="9"/>
  <c r="C176" i="9" l="1"/>
  <c r="G175" i="9"/>
  <c r="E175" i="9"/>
  <c r="Z118" i="9"/>
  <c r="Z116" i="9" s="1"/>
  <c r="Z114" i="9" s="1"/>
  <c r="Z179" i="9" s="1"/>
  <c r="Z175" i="9"/>
  <c r="Y118" i="9"/>
  <c r="Y116" i="9" s="1"/>
  <c r="Y114" i="9" s="1"/>
  <c r="Y179" i="9" s="1"/>
  <c r="Y175" i="9"/>
  <c r="R118" i="9"/>
  <c r="R116" i="9" s="1"/>
  <c r="R114" i="9" s="1"/>
  <c r="R179" i="9" s="1"/>
  <c r="R175" i="9"/>
  <c r="U175" i="9"/>
  <c r="F118" i="9"/>
  <c r="F116" i="9" s="1"/>
  <c r="F114" i="9" s="1"/>
  <c r="F179" i="9" s="1"/>
  <c r="F175" i="9"/>
  <c r="J118" i="9"/>
  <c r="J116" i="9" s="1"/>
  <c r="J114" i="9" s="1"/>
  <c r="J179" i="9" s="1"/>
  <c r="J175" i="9"/>
  <c r="Q118" i="9"/>
  <c r="Q116" i="9" s="1"/>
  <c r="Q114" i="9" s="1"/>
  <c r="Q179" i="9" s="1"/>
  <c r="Q175" i="9"/>
  <c r="AC175" i="9"/>
  <c r="AA118" i="9"/>
  <c r="AA116" i="9" s="1"/>
  <c r="AA114" i="9" s="1"/>
  <c r="AA179" i="9" s="1"/>
  <c r="AA175" i="9"/>
  <c r="N175" i="9"/>
  <c r="S118" i="9"/>
  <c r="S116" i="9" s="1"/>
  <c r="S114" i="9" s="1"/>
  <c r="S179" i="9" s="1"/>
  <c r="S175" i="9"/>
  <c r="V175" i="9"/>
  <c r="P118" i="9"/>
  <c r="P116" i="9" s="1"/>
  <c r="P114" i="9" s="1"/>
  <c r="P179" i="9" s="1"/>
  <c r="P175" i="9"/>
  <c r="L175" i="9"/>
  <c r="AD175" i="9"/>
  <c r="I118" i="9"/>
  <c r="I116" i="9" s="1"/>
  <c r="I114" i="9" s="1"/>
  <c r="I179" i="9" s="1"/>
  <c r="I175" i="9"/>
  <c r="X118" i="9"/>
  <c r="X116" i="9" s="1"/>
  <c r="X114" i="9" s="1"/>
  <c r="X179" i="9" s="1"/>
  <c r="X175" i="9"/>
  <c r="H118" i="9"/>
  <c r="H116" i="9" s="1"/>
  <c r="H114" i="9" s="1"/>
  <c r="H179" i="9" s="1"/>
  <c r="H175" i="9"/>
  <c r="D175" i="9"/>
  <c r="C175" i="9"/>
  <c r="K118" i="9"/>
  <c r="K116" i="9" s="1"/>
  <c r="K114" i="9" s="1"/>
  <c r="K179" i="9" s="1"/>
  <c r="K175" i="9"/>
  <c r="M175" i="9"/>
  <c r="W175" i="9"/>
  <c r="AA79" i="9"/>
  <c r="AB176" i="9"/>
  <c r="AB118" i="9"/>
  <c r="AB116" i="9" s="1"/>
  <c r="AB114" i="9" s="1"/>
  <c r="R176" i="9"/>
  <c r="T118" i="9"/>
  <c r="T116" i="9" s="1"/>
  <c r="T114" i="9" s="1"/>
  <c r="T179" i="9" s="1"/>
  <c r="J176" i="9"/>
  <c r="Y176" i="9"/>
  <c r="O118" i="9"/>
  <c r="O116" i="9" s="1"/>
  <c r="O114" i="9" s="1"/>
  <c r="O179" i="9" s="1"/>
  <c r="O176" i="9"/>
  <c r="W176" i="9"/>
  <c r="H176" i="9"/>
  <c r="M176" i="9"/>
  <c r="X176" i="9"/>
  <c r="S176" i="9"/>
  <c r="AD176" i="9"/>
  <c r="P176" i="9"/>
  <c r="AA176" i="9"/>
  <c r="F176" i="9"/>
  <c r="K176" i="9"/>
  <c r="E176" i="9"/>
  <c r="V176" i="9"/>
  <c r="L176" i="9"/>
  <c r="Q176" i="9"/>
  <c r="D176" i="9"/>
  <c r="U176" i="9"/>
  <c r="AC176" i="9"/>
  <c r="I176" i="9"/>
  <c r="G176" i="9"/>
  <c r="T176" i="9"/>
  <c r="Z176" i="9"/>
  <c r="N176" i="9"/>
  <c r="E76" i="9"/>
  <c r="M79" i="9"/>
  <c r="L76" i="9"/>
  <c r="K76" i="9"/>
  <c r="T76" i="9"/>
  <c r="AF120" i="9"/>
  <c r="AF131" i="9"/>
  <c r="P90" i="21"/>
  <c r="P57" i="21"/>
  <c r="S90" i="21"/>
  <c r="S57" i="21"/>
  <c r="T90" i="21"/>
  <c r="Q57" i="21"/>
  <c r="R57" i="21"/>
  <c r="W87" i="21"/>
  <c r="Q90" i="21"/>
  <c r="U57" i="21"/>
  <c r="V57" i="21"/>
  <c r="T57" i="21"/>
  <c r="W57" i="21"/>
  <c r="AB33" i="21"/>
  <c r="AD33" i="21"/>
  <c r="Z90" i="21"/>
  <c r="Z87" i="21"/>
  <c r="AE90" i="21"/>
  <c r="AE87" i="21"/>
  <c r="AF90" i="21"/>
  <c r="AF87" i="21"/>
  <c r="J87" i="21"/>
  <c r="AD90" i="21"/>
  <c r="AD87" i="21"/>
  <c r="F90" i="21"/>
  <c r="F87" i="21"/>
  <c r="H90" i="21"/>
  <c r="H87" i="21"/>
  <c r="G90" i="21"/>
  <c r="AC90" i="21"/>
  <c r="AC87" i="21"/>
  <c r="O79" i="9"/>
  <c r="O76" i="9"/>
  <c r="X79" i="9"/>
  <c r="X76" i="9"/>
  <c r="G79" i="9"/>
  <c r="G76" i="9"/>
  <c r="C79" i="9"/>
  <c r="U79" i="9"/>
  <c r="U76" i="9"/>
  <c r="P76" i="9"/>
  <c r="P79" i="9"/>
  <c r="AD76" i="9"/>
  <c r="AD79" i="9"/>
  <c r="Z79" i="9"/>
  <c r="Z76" i="9"/>
  <c r="H79" i="9"/>
  <c r="H76" i="9"/>
  <c r="V76" i="9"/>
  <c r="V79" i="9"/>
  <c r="R79" i="9"/>
  <c r="R76" i="9"/>
  <c r="D79" i="9"/>
  <c r="D76" i="9"/>
  <c r="AC79" i="9"/>
  <c r="AC76" i="9"/>
  <c r="N79" i="9"/>
  <c r="N76" i="9"/>
  <c r="J79" i="9"/>
  <c r="J76" i="9"/>
  <c r="S79" i="9"/>
  <c r="S76" i="9"/>
  <c r="F76" i="9"/>
  <c r="F79" i="9"/>
  <c r="Y79" i="9"/>
  <c r="Y76" i="9"/>
  <c r="Q79" i="9"/>
  <c r="Q76" i="9"/>
  <c r="W79" i="9"/>
  <c r="W76" i="9"/>
  <c r="AB79" i="9"/>
  <c r="AB76" i="9"/>
  <c r="I79" i="9"/>
  <c r="I76" i="9"/>
  <c r="AF73" i="9"/>
  <c r="AA33" i="21"/>
  <c r="Z33" i="21"/>
  <c r="Y90" i="21"/>
  <c r="C90" i="21"/>
  <c r="G56" i="21"/>
  <c r="Y55" i="21"/>
  <c r="AA56" i="21"/>
  <c r="AG55" i="21"/>
  <c r="H56" i="21"/>
  <c r="Y33" i="21"/>
  <c r="AC33" i="21"/>
  <c r="X55" i="21"/>
  <c r="AF56" i="21"/>
  <c r="AA52" i="21"/>
  <c r="AE33" i="21"/>
  <c r="I90" i="21"/>
  <c r="X90" i="21"/>
  <c r="AI55" i="21"/>
  <c r="Z53" i="21"/>
  <c r="AA53" i="21"/>
  <c r="AG53" i="21"/>
  <c r="C56" i="21"/>
  <c r="AG52" i="21"/>
  <c r="AE49" i="21"/>
  <c r="D90" i="21"/>
  <c r="F33" i="21"/>
  <c r="D49" i="21"/>
  <c r="G54" i="21"/>
  <c r="AI90" i="21"/>
  <c r="AB54" i="21"/>
  <c r="AG90" i="21"/>
  <c r="D55" i="21"/>
  <c r="AB90" i="21"/>
  <c r="AA90" i="21"/>
  <c r="H49" i="21"/>
  <c r="X56" i="21"/>
  <c r="AB55" i="21"/>
  <c r="AE52" i="21"/>
  <c r="D56" i="21"/>
  <c r="E55" i="21"/>
  <c r="AD52" i="21"/>
  <c r="AG33" i="21"/>
  <c r="Z49" i="21"/>
  <c r="AH90" i="21"/>
  <c r="C55" i="21"/>
  <c r="AA55" i="21"/>
  <c r="AC52" i="21"/>
  <c r="E90" i="21"/>
  <c r="AA52" i="9"/>
  <c r="S53" i="9"/>
  <c r="AA53" i="9"/>
  <c r="Z52" i="9"/>
  <c r="K51" i="9"/>
  <c r="AI54" i="21"/>
  <c r="D33" i="21"/>
  <c r="AH33" i="21"/>
  <c r="C53" i="21"/>
  <c r="AH55" i="21"/>
  <c r="AB52" i="21"/>
  <c r="H33" i="21"/>
  <c r="G49" i="21"/>
  <c r="Z54" i="21"/>
  <c r="Z52" i="21"/>
  <c r="AF53" i="21"/>
  <c r="C54" i="21"/>
  <c r="AF55" i="21"/>
  <c r="J33" i="21"/>
  <c r="F49" i="21"/>
  <c r="X52" i="21"/>
  <c r="F53" i="21"/>
  <c r="I33" i="21"/>
  <c r="E33" i="21"/>
  <c r="X49" i="21"/>
  <c r="I49" i="21"/>
  <c r="Y56" i="21"/>
  <c r="D53" i="21"/>
  <c r="I56" i="21"/>
  <c r="H54" i="21"/>
  <c r="G52" i="21"/>
  <c r="D52" i="21"/>
  <c r="F56" i="21"/>
  <c r="F55" i="21"/>
  <c r="F54" i="21"/>
  <c r="AE53" i="21"/>
  <c r="I55" i="21"/>
  <c r="H53" i="21"/>
  <c r="J53" i="21"/>
  <c r="I53" i="21"/>
  <c r="X33" i="21"/>
  <c r="AD49" i="21"/>
  <c r="Y54" i="21"/>
  <c r="AE56" i="21"/>
  <c r="AE55" i="21"/>
  <c r="AE54" i="21"/>
  <c r="AD53" i="21"/>
  <c r="H55" i="21"/>
  <c r="J52" i="21"/>
  <c r="G33" i="21"/>
  <c r="J55" i="21"/>
  <c r="AC49" i="21"/>
  <c r="X54" i="21"/>
  <c r="Y53" i="21"/>
  <c r="AD56" i="21"/>
  <c r="AD55" i="21"/>
  <c r="J54" i="21"/>
  <c r="I52" i="21"/>
  <c r="AI33" i="21"/>
  <c r="AB49" i="21"/>
  <c r="J49" i="21"/>
  <c r="Z56" i="21"/>
  <c r="AC55" i="21"/>
  <c r="AC54" i="21"/>
  <c r="AI52" i="21"/>
  <c r="AG49" i="21"/>
  <c r="R52" i="9"/>
  <c r="S32" i="9"/>
  <c r="K32" i="9"/>
  <c r="S51" i="9"/>
  <c r="J54" i="9"/>
  <c r="J52" i="9"/>
  <c r="R54" i="9"/>
  <c r="K52" i="9"/>
  <c r="Z54" i="9"/>
  <c r="O32" i="9"/>
  <c r="X55" i="9"/>
  <c r="I52" i="9"/>
  <c r="Q54" i="9"/>
  <c r="Q52" i="9"/>
  <c r="Y52" i="9"/>
  <c r="I54" i="9"/>
  <c r="Y54" i="9"/>
  <c r="H52" i="9"/>
  <c r="D55" i="9"/>
  <c r="X48" i="9"/>
  <c r="H54" i="9"/>
  <c r="O55" i="9"/>
  <c r="X51" i="9"/>
  <c r="X52" i="9"/>
  <c r="X53" i="9"/>
  <c r="H51" i="9"/>
  <c r="D53" i="9"/>
  <c r="H55" i="9"/>
  <c r="P32" i="9"/>
  <c r="P52" i="9"/>
  <c r="P54" i="9"/>
  <c r="P51" i="9"/>
  <c r="P53" i="9"/>
  <c r="T51" i="9"/>
  <c r="U51" i="9"/>
  <c r="AA55" i="9"/>
  <c r="C53" i="9"/>
  <c r="F54" i="9"/>
  <c r="E53" i="9"/>
  <c r="C55" i="9"/>
  <c r="C52" i="9"/>
  <c r="AF64" i="9"/>
  <c r="AF51" i="9" s="1"/>
  <c r="S52" i="9"/>
  <c r="E55" i="9"/>
  <c r="C51" i="9"/>
  <c r="W53" i="9"/>
  <c r="G51" i="9"/>
  <c r="F53" i="9"/>
  <c r="G55" i="9"/>
  <c r="AC48" i="9"/>
  <c r="G53" i="9"/>
  <c r="AA32" i="9"/>
  <c r="X32" i="9"/>
  <c r="G52" i="9"/>
  <c r="F51" i="9"/>
  <c r="W51" i="9"/>
  <c r="J48" i="9"/>
  <c r="AD48" i="9"/>
  <c r="H48" i="9"/>
  <c r="AB51" i="9"/>
  <c r="AB53" i="9"/>
  <c r="N54" i="9"/>
  <c r="L55" i="9"/>
  <c r="Z32" i="9"/>
  <c r="R32" i="9"/>
  <c r="J32" i="9"/>
  <c r="W52" i="9"/>
  <c r="W55" i="9"/>
  <c r="O51" i="9"/>
  <c r="AC51" i="9"/>
  <c r="O52" i="9"/>
  <c r="N53" i="9"/>
  <c r="AC53" i="9"/>
  <c r="O54" i="9"/>
  <c r="M55" i="9"/>
  <c r="AD32" i="9"/>
  <c r="V32" i="9"/>
  <c r="N32" i="9"/>
  <c r="V54" i="9"/>
  <c r="V55" i="9"/>
  <c r="AB48" i="9"/>
  <c r="H4" i="9"/>
  <c r="N48" i="9"/>
  <c r="AG64" i="9"/>
  <c r="AD51" i="9"/>
  <c r="AD54" i="9"/>
  <c r="N55" i="9"/>
  <c r="AC32" i="9"/>
  <c r="U32" i="9"/>
  <c r="W32" i="9"/>
  <c r="E51" i="9"/>
  <c r="AA51" i="9"/>
  <c r="M53" i="9"/>
  <c r="E54" i="9"/>
  <c r="M54" i="9"/>
  <c r="U54" i="9"/>
  <c r="AC54" i="9"/>
  <c r="K55" i="9"/>
  <c r="U55" i="9"/>
  <c r="L51" i="9"/>
  <c r="V51" i="9"/>
  <c r="D52" i="9"/>
  <c r="L52" i="9"/>
  <c r="T52" i="9"/>
  <c r="AB52" i="9"/>
  <c r="T53" i="9"/>
  <c r="AD53" i="9"/>
  <c r="F55" i="9"/>
  <c r="AB55" i="9"/>
  <c r="M32" i="9"/>
  <c r="M51" i="9"/>
  <c r="U52" i="9"/>
  <c r="AC52" i="9"/>
  <c r="K53" i="9"/>
  <c r="S54" i="9"/>
  <c r="AB32" i="9"/>
  <c r="T32" i="9"/>
  <c r="L32" i="9"/>
  <c r="D51" i="9"/>
  <c r="N51" i="9"/>
  <c r="V52" i="9"/>
  <c r="AD52" i="9"/>
  <c r="L53" i="9"/>
  <c r="T54" i="9"/>
  <c r="Y49" i="21"/>
  <c r="AF49" i="21"/>
  <c r="AH53" i="21"/>
  <c r="E53" i="21"/>
  <c r="AH52" i="21"/>
  <c r="E52" i="21"/>
  <c r="E49" i="21"/>
  <c r="AI49" i="21"/>
  <c r="AC56" i="21"/>
  <c r="AH54" i="21"/>
  <c r="E54" i="21"/>
  <c r="AF52" i="21"/>
  <c r="AA49" i="21"/>
  <c r="AH49" i="21"/>
  <c r="AI56" i="21"/>
  <c r="AB56" i="21"/>
  <c r="AG54" i="21"/>
  <c r="G55" i="21"/>
  <c r="AF33" i="21"/>
  <c r="O48" i="9"/>
  <c r="V48" i="9"/>
  <c r="I51" i="9"/>
  <c r="Q51" i="9"/>
  <c r="Y51" i="9"/>
  <c r="I53" i="9"/>
  <c r="Q53" i="9"/>
  <c r="Y53" i="9"/>
  <c r="J51" i="9"/>
  <c r="R51" i="9"/>
  <c r="Z51" i="9"/>
  <c r="J53" i="9"/>
  <c r="R53" i="9"/>
  <c r="Z53" i="9"/>
  <c r="Y32" i="9"/>
  <c r="Q32" i="9"/>
  <c r="I32" i="9"/>
  <c r="H32" i="9"/>
  <c r="F19" i="21"/>
  <c r="L6" i="9"/>
  <c r="K4" i="9"/>
  <c r="H6" i="9"/>
  <c r="H5" i="9"/>
  <c r="L4" i="9"/>
  <c r="K5" i="9"/>
  <c r="J6" i="9"/>
  <c r="J5" i="9"/>
  <c r="I4" i="9"/>
  <c r="J4" i="9"/>
  <c r="I5" i="9"/>
  <c r="I6" i="9"/>
  <c r="L5" i="9"/>
  <c r="K6" i="9"/>
  <c r="W48" i="9"/>
  <c r="Z48" i="9"/>
  <c r="U48" i="9"/>
  <c r="R48" i="9"/>
  <c r="M48" i="9"/>
  <c r="K48" i="9"/>
  <c r="P48" i="9"/>
  <c r="S48" i="9"/>
  <c r="AA48" i="9"/>
  <c r="L45" i="9"/>
  <c r="P43" i="9"/>
  <c r="V46" i="9"/>
  <c r="Z43" i="9"/>
  <c r="O44" i="9"/>
  <c r="S47" i="9"/>
  <c r="S43" i="9"/>
  <c r="H43" i="9"/>
  <c r="P46" i="9"/>
  <c r="N43" i="9"/>
  <c r="AB46" i="9"/>
  <c r="T46" i="9"/>
  <c r="X45" i="9"/>
  <c r="AB44" i="9"/>
  <c r="X43" i="9"/>
  <c r="I48" i="9"/>
  <c r="I46" i="9"/>
  <c r="M44" i="9"/>
  <c r="M43" i="9"/>
  <c r="Q47" i="9"/>
  <c r="Q43" i="9"/>
  <c r="K45" i="9"/>
  <c r="AD43" i="9"/>
  <c r="V43" i="9"/>
  <c r="E23" i="21"/>
  <c r="E17" i="21" s="1"/>
  <c r="G23" i="21"/>
  <c r="G12" i="21"/>
  <c r="F24" i="21"/>
  <c r="E24" i="21"/>
  <c r="E18" i="21" s="1"/>
  <c r="F23" i="21"/>
  <c r="G13" i="21"/>
  <c r="F10" i="21"/>
  <c r="AF47" i="9"/>
  <c r="C73" i="18"/>
  <c r="D73" i="18"/>
  <c r="E73" i="18"/>
  <c r="F73" i="18"/>
  <c r="G73" i="18"/>
  <c r="K73" i="18"/>
  <c r="L73" i="18"/>
  <c r="M73" i="18"/>
  <c r="N73" i="18"/>
  <c r="O73" i="18"/>
  <c r="P73" i="18"/>
  <c r="Q73" i="18"/>
  <c r="R73" i="18"/>
  <c r="S73" i="18"/>
  <c r="T73" i="18"/>
  <c r="U73" i="18"/>
  <c r="V73" i="18"/>
  <c r="W73" i="18"/>
  <c r="X73" i="18"/>
  <c r="Y73" i="18"/>
  <c r="B73" i="18"/>
  <c r="AF114" i="9" l="1"/>
  <c r="AB179" i="9"/>
  <c r="AF116" i="9"/>
  <c r="AF118" i="9"/>
  <c r="AA57" i="21"/>
  <c r="AB57" i="21"/>
  <c r="AG57" i="21"/>
  <c r="Z57" i="21"/>
  <c r="C57" i="21"/>
  <c r="AD57" i="21"/>
  <c r="G57" i="21"/>
  <c r="AF57" i="21"/>
  <c r="H57" i="21"/>
  <c r="AI57" i="21"/>
  <c r="AC57" i="21"/>
  <c r="Y57" i="21"/>
  <c r="J57" i="21"/>
  <c r="F57" i="21"/>
  <c r="X57" i="21"/>
  <c r="D57" i="21"/>
  <c r="I57" i="21"/>
  <c r="AE57" i="21"/>
  <c r="AA56" i="9"/>
  <c r="AF52" i="9"/>
  <c r="X56" i="9"/>
  <c r="AD56" i="9"/>
  <c r="P56" i="9"/>
  <c r="H56" i="9"/>
  <c r="Z56" i="9"/>
  <c r="F56" i="9"/>
  <c r="C56" i="9"/>
  <c r="N56" i="9"/>
  <c r="T56" i="9"/>
  <c r="E56" i="9"/>
  <c r="W56" i="9"/>
  <c r="G56" i="9"/>
  <c r="S56" i="9"/>
  <c r="R56" i="9"/>
  <c r="AC56" i="9"/>
  <c r="O56" i="9"/>
  <c r="K56" i="9"/>
  <c r="AF53" i="9"/>
  <c r="AF54" i="9"/>
  <c r="L56" i="9"/>
  <c r="AF55" i="9"/>
  <c r="J56" i="9"/>
  <c r="D56" i="9"/>
  <c r="M56" i="9"/>
  <c r="U56" i="9"/>
  <c r="Y56" i="9"/>
  <c r="AB56" i="9"/>
  <c r="V56" i="9"/>
  <c r="Q56" i="9"/>
  <c r="I56" i="9"/>
  <c r="E57" i="21"/>
  <c r="AH57" i="21"/>
  <c r="L23" i="21"/>
  <c r="L37" i="21" s="1"/>
  <c r="L29" i="21" s="1"/>
  <c r="G17" i="21"/>
  <c r="F17" i="21"/>
  <c r="T48" i="9"/>
  <c r="Y48" i="9"/>
  <c r="Q48" i="9"/>
  <c r="L48" i="9"/>
  <c r="G10" i="21"/>
  <c r="G22" i="21" s="1"/>
  <c r="F22" i="21"/>
  <c r="F16" i="21" s="1"/>
  <c r="L13" i="21"/>
  <c r="M13" i="21" s="1"/>
  <c r="G25" i="21"/>
  <c r="F18" i="21"/>
  <c r="L12" i="21"/>
  <c r="M12" i="21" s="1"/>
  <c r="G24" i="21"/>
  <c r="G18" i="21" s="1"/>
  <c r="AF45" i="9"/>
  <c r="AF44" i="9"/>
  <c r="AF48" i="9"/>
  <c r="AF43" i="9"/>
  <c r="AF46" i="9"/>
  <c r="C62" i="18"/>
  <c r="AG36" i="9"/>
  <c r="AG37" i="9"/>
  <c r="AG38" i="9"/>
  <c r="AG39" i="9"/>
  <c r="AG35" i="9"/>
  <c r="AF67" i="9"/>
  <c r="AF68" i="9" s="1"/>
  <c r="AF78" i="9" s="1"/>
  <c r="AF36" i="9"/>
  <c r="AF37" i="9"/>
  <c r="AF38" i="9"/>
  <c r="AF39" i="9"/>
  <c r="AF35" i="9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B13" i="6"/>
  <c r="R27" i="6"/>
  <c r="B27" i="2"/>
  <c r="F170" i="9"/>
  <c r="U170" i="9"/>
  <c r="P170" i="9"/>
  <c r="K170" i="9"/>
  <c r="F171" i="9" l="1"/>
  <c r="F173" i="9"/>
  <c r="K173" i="9"/>
  <c r="K171" i="9"/>
  <c r="P173" i="9"/>
  <c r="P171" i="9"/>
  <c r="U171" i="9"/>
  <c r="U173" i="9"/>
  <c r="AF130" i="9"/>
  <c r="AF56" i="9"/>
  <c r="AF40" i="9"/>
  <c r="AG40" i="9"/>
  <c r="G16" i="21"/>
  <c r="L25" i="21"/>
  <c r="L39" i="21" s="1"/>
  <c r="L31" i="21" s="1"/>
  <c r="G19" i="21"/>
  <c r="L24" i="21"/>
  <c r="L38" i="21" s="1"/>
  <c r="L30" i="21" s="1"/>
  <c r="L10" i="21"/>
  <c r="M10" i="21" s="1"/>
  <c r="AF28" i="9"/>
  <c r="AF29" i="9"/>
  <c r="AF30" i="9"/>
  <c r="AF27" i="9"/>
  <c r="AF31" i="9"/>
  <c r="AF121" i="9" l="1"/>
  <c r="AF79" i="9"/>
  <c r="AF76" i="9"/>
  <c r="AF32" i="9"/>
  <c r="L22" i="21"/>
  <c r="L36" i="21" s="1"/>
  <c r="L28" i="21" s="1"/>
  <c r="AD170" i="9"/>
  <c r="D170" i="9"/>
  <c r="E170" i="9"/>
  <c r="G170" i="9"/>
  <c r="H170" i="9"/>
  <c r="I170" i="9"/>
  <c r="J170" i="9"/>
  <c r="L170" i="9"/>
  <c r="M170" i="9"/>
  <c r="N170" i="9"/>
  <c r="O170" i="9"/>
  <c r="Q170" i="9"/>
  <c r="R170" i="9"/>
  <c r="S170" i="9"/>
  <c r="T170" i="9"/>
  <c r="V170" i="9"/>
  <c r="W170" i="9"/>
  <c r="X170" i="9"/>
  <c r="Y170" i="9"/>
  <c r="Z170" i="9"/>
  <c r="AA170" i="9"/>
  <c r="AB170" i="9"/>
  <c r="AC170" i="9"/>
  <c r="C170" i="9"/>
  <c r="C171" i="9" s="1"/>
  <c r="I173" i="9" l="1"/>
  <c r="I171" i="9"/>
  <c r="AA173" i="9"/>
  <c r="AA171" i="9"/>
  <c r="H171" i="9"/>
  <c r="H173" i="9"/>
  <c r="Q173" i="9"/>
  <c r="Q171" i="9"/>
  <c r="N171" i="9"/>
  <c r="N173" i="9"/>
  <c r="AB171" i="9"/>
  <c r="AB173" i="9"/>
  <c r="R173" i="9"/>
  <c r="R171" i="9"/>
  <c r="Z173" i="9"/>
  <c r="Z171" i="9"/>
  <c r="G171" i="9"/>
  <c r="G173" i="9"/>
  <c r="O171" i="9"/>
  <c r="O173" i="9"/>
  <c r="E171" i="9"/>
  <c r="E173" i="9"/>
  <c r="X173" i="9"/>
  <c r="X171" i="9"/>
  <c r="M171" i="9"/>
  <c r="M173" i="9"/>
  <c r="V171" i="9"/>
  <c r="V173" i="9"/>
  <c r="S173" i="9"/>
  <c r="S171" i="9"/>
  <c r="Y173" i="9"/>
  <c r="Y171" i="9"/>
  <c r="D171" i="9"/>
  <c r="D173" i="9"/>
  <c r="W171" i="9"/>
  <c r="W173" i="9"/>
  <c r="C173" i="9"/>
  <c r="L171" i="9"/>
  <c r="L173" i="9"/>
  <c r="AC171" i="9"/>
  <c r="AC173" i="9"/>
  <c r="T171" i="9"/>
  <c r="T173" i="9"/>
  <c r="J171" i="9"/>
  <c r="J173" i="9"/>
  <c r="AD171" i="9"/>
  <c r="AD173" i="9"/>
  <c r="AF119" i="9"/>
  <c r="D151" i="9"/>
  <c r="AF117" i="9" l="1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S27" i="6"/>
  <c r="T27" i="6"/>
  <c r="U27" i="6"/>
  <c r="V27" i="6"/>
  <c r="W27" i="6"/>
  <c r="X27" i="6"/>
  <c r="Y27" i="6"/>
  <c r="Z27" i="6"/>
  <c r="AA27" i="6"/>
  <c r="AB27" i="6"/>
  <c r="AC27" i="6"/>
  <c r="B27" i="6"/>
  <c r="S18" i="6"/>
  <c r="T18" i="6"/>
  <c r="U18" i="6"/>
  <c r="V18" i="6"/>
  <c r="W18" i="6"/>
  <c r="X18" i="6"/>
  <c r="Y18" i="6"/>
  <c r="Z18" i="6"/>
  <c r="AA18" i="6"/>
  <c r="AB18" i="6"/>
  <c r="AC18" i="6"/>
  <c r="AF113" i="9" l="1"/>
  <c r="AF115" i="9"/>
  <c r="Z24" i="6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B16" i="2" l="1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5" i="6"/>
  <c r="D5" i="6"/>
  <c r="E5" i="6"/>
  <c r="F5" i="6"/>
  <c r="G5" i="6"/>
  <c r="H5" i="6"/>
  <c r="I5" i="6"/>
  <c r="J5" i="6"/>
  <c r="K5" i="6"/>
  <c r="L5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B5" i="6"/>
  <c r="S24" i="6"/>
  <c r="T24" i="6"/>
  <c r="U24" i="6"/>
  <c r="V24" i="6"/>
  <c r="W24" i="6"/>
  <c r="X24" i="6"/>
  <c r="Y24" i="6"/>
  <c r="AA24" i="6"/>
  <c r="AB24" i="6"/>
  <c r="AC24" i="6"/>
  <c r="R18" i="6"/>
  <c r="R24" i="6" s="1"/>
  <c r="Q18" i="6"/>
  <c r="Q24" i="6" s="1"/>
  <c r="P18" i="6"/>
  <c r="P24" i="6" s="1"/>
  <c r="O18" i="6"/>
  <c r="O24" i="6" s="1"/>
  <c r="N18" i="6"/>
  <c r="N24" i="6" s="1"/>
  <c r="M18" i="6"/>
  <c r="M24" i="6" s="1"/>
  <c r="L18" i="6"/>
  <c r="L24" i="6" s="1"/>
  <c r="K18" i="6"/>
  <c r="K24" i="6" s="1"/>
  <c r="J18" i="6"/>
  <c r="J24" i="6" s="1"/>
  <c r="I18" i="6"/>
  <c r="I24" i="6" s="1"/>
  <c r="H18" i="6"/>
  <c r="H24" i="6" s="1"/>
  <c r="G18" i="6"/>
  <c r="G24" i="6" s="1"/>
  <c r="F18" i="6"/>
  <c r="F24" i="6" s="1"/>
  <c r="E18" i="6"/>
  <c r="E24" i="6" s="1"/>
  <c r="D18" i="6"/>
  <c r="D24" i="6" s="1"/>
  <c r="C18" i="6"/>
  <c r="C24" i="6" s="1"/>
  <c r="B18" i="6"/>
  <c r="B24" i="6" s="1"/>
  <c r="C17" i="4"/>
  <c r="D17" i="4"/>
  <c r="D23" i="4" s="1"/>
  <c r="E17" i="4"/>
  <c r="E23" i="4" s="1"/>
  <c r="F17" i="4"/>
  <c r="F23" i="4" s="1"/>
  <c r="G17" i="4"/>
  <c r="G23" i="4" s="1"/>
  <c r="H17" i="4"/>
  <c r="I17" i="4"/>
  <c r="J17" i="4"/>
  <c r="K17" i="4"/>
  <c r="L17" i="4"/>
  <c r="L23" i="4" s="1"/>
  <c r="M17" i="4"/>
  <c r="M23" i="4" s="1"/>
  <c r="N17" i="4"/>
  <c r="N23" i="4" s="1"/>
  <c r="O17" i="4"/>
  <c r="O23" i="4" s="1"/>
  <c r="P17" i="4"/>
  <c r="Q17" i="4"/>
  <c r="R17" i="4"/>
  <c r="S17" i="4"/>
  <c r="T17" i="4"/>
  <c r="T23" i="4" s="1"/>
  <c r="U17" i="4"/>
  <c r="U23" i="4" s="1"/>
  <c r="V17" i="4"/>
  <c r="V23" i="4" s="1"/>
  <c r="W17" i="4"/>
  <c r="W23" i="4" s="1"/>
  <c r="X17" i="4"/>
  <c r="Y17" i="4"/>
  <c r="Z17" i="4"/>
  <c r="AA17" i="4"/>
  <c r="AB17" i="4"/>
  <c r="AB23" i="4" s="1"/>
  <c r="AC17" i="4"/>
  <c r="AC23" i="4" s="1"/>
  <c r="B17" i="4"/>
  <c r="B23" i="4" s="1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B21" i="4"/>
  <c r="B5" i="4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A23" i="4" l="1"/>
  <c r="S23" i="4"/>
  <c r="K23" i="4"/>
  <c r="C23" i="4"/>
  <c r="R23" i="4"/>
  <c r="Y23" i="4"/>
  <c r="Q23" i="4"/>
  <c r="I23" i="4"/>
  <c r="Z23" i="4"/>
  <c r="J23" i="4"/>
  <c r="X23" i="4"/>
  <c r="P23" i="4"/>
  <c r="H23" i="4"/>
  <c r="W22" i="2"/>
  <c r="O22" i="2"/>
  <c r="G22" i="2"/>
  <c r="AA22" i="2"/>
  <c r="S22" i="2"/>
  <c r="K22" i="2"/>
  <c r="C22" i="2"/>
  <c r="J22" i="2"/>
  <c r="Z22" i="2"/>
  <c r="Y22" i="2"/>
  <c r="Q22" i="2"/>
  <c r="I22" i="2"/>
  <c r="R22" i="2"/>
  <c r="X22" i="2"/>
  <c r="P22" i="2"/>
  <c r="H22" i="2"/>
  <c r="N22" i="2"/>
  <c r="F22" i="2"/>
  <c r="V22" i="2"/>
  <c r="AC22" i="2"/>
  <c r="U22" i="2"/>
  <c r="M22" i="2"/>
  <c r="E22" i="2"/>
  <c r="AB22" i="2"/>
  <c r="T22" i="2"/>
  <c r="L22" i="2"/>
  <c r="D22" i="2"/>
  <c r="L40" i="21" l="1"/>
  <c r="L41" i="21" s="1"/>
  <c r="L63" i="21" l="1"/>
  <c r="L47" i="21" s="1"/>
  <c r="L61" i="21"/>
  <c r="L45" i="21" s="1"/>
  <c r="L62" i="21"/>
  <c r="L46" i="21" s="1"/>
  <c r="L33" i="21"/>
  <c r="L60" i="21"/>
  <c r="L64" i="21"/>
  <c r="L48" i="21" s="1"/>
  <c r="L44" i="21" l="1"/>
  <c r="L65" i="21"/>
  <c r="L76" i="21" s="1"/>
  <c r="L85" i="21" s="1"/>
  <c r="L130" i="21" s="1"/>
  <c r="L80" i="21" l="1"/>
  <c r="L128" i="21" s="1"/>
  <c r="L77" i="21"/>
  <c r="L126" i="21" s="1"/>
  <c r="L86" i="21"/>
  <c r="L141" i="21" s="1"/>
  <c r="L81" i="21"/>
  <c r="L49" i="21"/>
  <c r="L95" i="21" l="1"/>
  <c r="L83" i="21"/>
  <c r="L78" i="21"/>
  <c r="L84" i="21" l="1"/>
  <c r="L90" i="21" s="1"/>
  <c r="L89" i="21"/>
  <c r="L87" i="21" l="1"/>
  <c r="L94" i="21" s="1"/>
  <c r="L106" i="21" s="1"/>
  <c r="L121" i="21" s="1"/>
  <c r="L147" i="21" s="1"/>
  <c r="L142" i="21" s="1"/>
  <c r="L133" i="21" s="1"/>
  <c r="L131" i="21" s="1"/>
  <c r="L129" i="21" s="1"/>
  <c r="L127" i="21" s="1"/>
  <c r="L125" i="21" s="1"/>
</calcChain>
</file>

<file path=xl/sharedStrings.xml><?xml version="1.0" encoding="utf-8"?>
<sst xmlns="http://schemas.openxmlformats.org/spreadsheetml/2006/main" count="1247" uniqueCount="362">
  <si>
    <t>net income</t>
  </si>
  <si>
    <t>depreciation and amortization</t>
  </si>
  <si>
    <t>cash paid for income taxes, net</t>
  </si>
  <si>
    <t>cash paid for interest</t>
  </si>
  <si>
    <t>adjustments to reconcile net income to cash generated by operating activities:</t>
  </si>
  <si>
    <t>share-based compensation expense</t>
  </si>
  <si>
    <t>deferred income tax expense</t>
  </si>
  <si>
    <t>deferred income tax benefit</t>
  </si>
  <si>
    <t>other</t>
  </si>
  <si>
    <t>accounts receivable, net</t>
  </si>
  <si>
    <t>inventories</t>
  </si>
  <si>
    <t>vendor non-trade receivables</t>
  </si>
  <si>
    <t>other current and non-current assets</t>
  </si>
  <si>
    <t>accounts payable</t>
  </si>
  <si>
    <t>deferred revenue</t>
  </si>
  <si>
    <t>other current and non-current liabilities</t>
  </si>
  <si>
    <t>cash generated by operating activities</t>
  </si>
  <si>
    <t>payments for acquisition of property, plant and equipment</t>
  </si>
  <si>
    <t>investing activities:</t>
  </si>
  <si>
    <t>purchases of marketable securities</t>
  </si>
  <si>
    <t>proceeds from maturities of marketable securities</t>
  </si>
  <si>
    <t>proceeds from sales of marketable securities</t>
  </si>
  <si>
    <t>payments made in connection with business acquisitions, net</t>
  </si>
  <si>
    <t>purchases of non-marketable securities</t>
  </si>
  <si>
    <t>payments for acquisition of intangible assets</t>
  </si>
  <si>
    <t>proceeds from non-marketable securities</t>
  </si>
  <si>
    <t>payments for strategic investments, net</t>
  </si>
  <si>
    <t>payments for strategic investments</t>
  </si>
  <si>
    <t>cash used in investing activities</t>
  </si>
  <si>
    <t>payments for taxes related to net share settlement of equity awards</t>
  </si>
  <si>
    <t>payments for dividends and dividend equivalents</t>
  </si>
  <si>
    <t>proceeds from issuance of common stock</t>
  </si>
  <si>
    <t>repurchases of common stock</t>
  </si>
  <si>
    <t>excess tax benefits from equity awards</t>
  </si>
  <si>
    <t>proceeds from issuance of term debt, net</t>
  </si>
  <si>
    <t>repayments of term debt</t>
  </si>
  <si>
    <t>proceeds from commercial paper, net</t>
  </si>
  <si>
    <t>change in commercial paper, net</t>
  </si>
  <si>
    <t>cash used in financing activities</t>
  </si>
  <si>
    <t>cash and cash equivalents, beginning of the period</t>
  </si>
  <si>
    <t>cash and cash equivalents, end of the period</t>
  </si>
  <si>
    <t>proceeds from repurchase agreement</t>
  </si>
  <si>
    <t>proceeds from repurchase agreements</t>
  </si>
  <si>
    <t>repayments of commercial paper, net</t>
  </si>
  <si>
    <t>Q2 2017</t>
  </si>
  <si>
    <t>Q3 2017</t>
  </si>
  <si>
    <t>Year Ended 2017</t>
  </si>
  <si>
    <t>Q2 2018</t>
  </si>
  <si>
    <t>Q3 2018</t>
  </si>
  <si>
    <t>Year Ended 2018</t>
  </si>
  <si>
    <t>Q2 2019</t>
  </si>
  <si>
    <t>Q3 2019</t>
  </si>
  <si>
    <t>Year Ended 2019</t>
  </si>
  <si>
    <t>Q2 2020</t>
  </si>
  <si>
    <t>Q3 2020</t>
  </si>
  <si>
    <t>Year Ended 2020</t>
  </si>
  <si>
    <t>Q2 2021</t>
  </si>
  <si>
    <t>Q3 2021</t>
  </si>
  <si>
    <t>Year Ended 2021</t>
  </si>
  <si>
    <t>Q2 2022</t>
  </si>
  <si>
    <t>Q3 2022</t>
  </si>
  <si>
    <t>iPhone</t>
  </si>
  <si>
    <t>Mac</t>
  </si>
  <si>
    <t>iPad</t>
  </si>
  <si>
    <t>Wearables, Home and Accessories</t>
  </si>
  <si>
    <t>Services</t>
  </si>
  <si>
    <t>Total net sales</t>
  </si>
  <si>
    <t>label</t>
  </si>
  <si>
    <t>Q4 2017</t>
  </si>
  <si>
    <t>Q4 2018</t>
  </si>
  <si>
    <t>Q4 2019</t>
  </si>
  <si>
    <t>Q4 2020</t>
  </si>
  <si>
    <t>Q4 2021</t>
  </si>
  <si>
    <t>Q1 2017</t>
  </si>
  <si>
    <t>Q1 2018</t>
  </si>
  <si>
    <t>Q1 2019</t>
  </si>
  <si>
    <t>Q1 2020</t>
  </si>
  <si>
    <t>Q1 2021</t>
  </si>
  <si>
    <t>Q1 2022</t>
  </si>
  <si>
    <t>COGS</t>
  </si>
  <si>
    <t>Gross Profit</t>
  </si>
  <si>
    <t>EBITDA</t>
  </si>
  <si>
    <t>Net Sales</t>
  </si>
  <si>
    <t>OperatingX</t>
  </si>
  <si>
    <t>CashOpX</t>
  </si>
  <si>
    <t>OI</t>
  </si>
  <si>
    <t>D&amp;A</t>
  </si>
  <si>
    <t>less change NWC</t>
  </si>
  <si>
    <t>less CapX</t>
  </si>
  <si>
    <t>less Tax</t>
  </si>
  <si>
    <t>FCF</t>
  </si>
  <si>
    <t>less Dividends</t>
  </si>
  <si>
    <t>less Stock Repurchase</t>
  </si>
  <si>
    <t>less Debt Paydown</t>
  </si>
  <si>
    <t>NCF</t>
  </si>
  <si>
    <t>deferred taxes</t>
  </si>
  <si>
    <t>less non-marketable securities</t>
  </si>
  <si>
    <t>less marketable securities</t>
  </si>
  <si>
    <t>less commercial paper</t>
  </si>
  <si>
    <t>adj. EBITDA</t>
  </si>
  <si>
    <t>less Op Other</t>
  </si>
  <si>
    <t>less Acquisitions</t>
  </si>
  <si>
    <t>less Other Investing</t>
  </si>
  <si>
    <t>less Other Operating</t>
  </si>
  <si>
    <t>iPhone, YoY</t>
  </si>
  <si>
    <t>iPad, YoY</t>
  </si>
  <si>
    <t>Mac, YoY</t>
  </si>
  <si>
    <t>Wearables, Home and Accessories, YoY</t>
  </si>
  <si>
    <t>YoY 𝚫 in Sales</t>
  </si>
  <si>
    <t>YoY 𝚫 in Sales By Brand</t>
  </si>
  <si>
    <t>Gross Margin</t>
  </si>
  <si>
    <t>EBITDA Margin</t>
  </si>
  <si>
    <t>Cash</t>
  </si>
  <si>
    <t>ST Investments</t>
  </si>
  <si>
    <t>less Other Financing</t>
  </si>
  <si>
    <t>2013 – 2020 debt issuances:</t>
  </si>
  <si>
    <t>Floating-rate notes</t>
  </si>
  <si>
    <t> 2022</t>
  </si>
  <si>
    <t>0.48% – 0.63%</t>
  </si>
  <si>
    <t>Fixed-rate 0.000% – 4.650% notes</t>
  </si>
  <si>
    <t>2022 – 2060</t>
  </si>
  <si>
    <t>0.03% – 4.78%</t>
  </si>
  <si>
    <t>Second quarter 2021 debt issuance:</t>
  </si>
  <si>
    <t>Fixed-rate 0.700% – 2.800% notes</t>
  </si>
  <si>
    <t>2026 – 2061</t>
  </si>
  <si>
    <t>0.75% – 2.81%</t>
  </si>
  <si>
    <t>Fourth quarter 2021 debt issuance:</t>
  </si>
  <si>
    <t>Fixed-rate 1.400% – 2.850% notes</t>
  </si>
  <si>
    <t>2028 – 2061</t>
  </si>
  <si>
    <t>1.43% – 2.86%</t>
  </si>
  <si>
    <t>Total term debt</t>
  </si>
  <si>
    <t>Unamortized premium/(discount) and issuance costs, net</t>
  </si>
  <si>
    <t>Hedge accounting fair value adjustments</t>
  </si>
  <si>
    <t>Less: Current portion of term debt</t>
  </si>
  <si>
    <t>Total non-current portion of term debt</t>
  </si>
  <si>
    <t>109,106 </t>
  </si>
  <si>
    <t>Maturies</t>
  </si>
  <si>
    <t>Amount</t>
  </si>
  <si>
    <t>Effective Interest Rate</t>
  </si>
  <si>
    <t>current term debt</t>
  </si>
  <si>
    <t>long term debt</t>
  </si>
  <si>
    <t>cash and cash equivalents</t>
  </si>
  <si>
    <t>Net Debt</t>
  </si>
  <si>
    <t>EV</t>
  </si>
  <si>
    <t>shares</t>
  </si>
  <si>
    <t>price, $/sh</t>
  </si>
  <si>
    <t>Equity</t>
  </si>
  <si>
    <t>LTV</t>
  </si>
  <si>
    <t>LTM</t>
  </si>
  <si>
    <t>Provision for income taxes</t>
  </si>
  <si>
    <t>Other income/, net</t>
  </si>
  <si>
    <t>increase in cash, cash equivalents and restricted cash</t>
  </si>
  <si>
    <t>LTM (Year Before)</t>
  </si>
  <si>
    <t>Americas</t>
  </si>
  <si>
    <t>Europe</t>
  </si>
  <si>
    <t>Greater China</t>
  </si>
  <si>
    <t>Japan</t>
  </si>
  <si>
    <t>Rest of Asia Pacific</t>
  </si>
  <si>
    <t>Unit Sales by Product:</t>
  </si>
  <si>
    <t>Cost of Mac</t>
  </si>
  <si>
    <t>Cost of iPhone</t>
  </si>
  <si>
    <t>Cost of iPad</t>
  </si>
  <si>
    <t>YoY 𝚫 in Sales By Location</t>
  </si>
  <si>
    <t>YoY 𝚫 in Sales By Prdocut</t>
  </si>
  <si>
    <t>Americas, YoY</t>
  </si>
  <si>
    <t>Europe, YoY</t>
  </si>
  <si>
    <t>Greater China, YoY</t>
  </si>
  <si>
    <t>Japan, YoY</t>
  </si>
  <si>
    <t>Avg. Cost of Wearables</t>
  </si>
  <si>
    <t>Revenues By Product:</t>
  </si>
  <si>
    <t>Revenues By Location:</t>
  </si>
  <si>
    <t>YoY 𝚫 in Cost of Prdocut</t>
  </si>
  <si>
    <t>Cost of Product:</t>
  </si>
  <si>
    <t>YoY 𝚫 in Unit Sales By Product:</t>
  </si>
  <si>
    <t>Wearables</t>
  </si>
  <si>
    <t>E  Q4 2022</t>
  </si>
  <si>
    <t>E Year Ended 2022</t>
  </si>
  <si>
    <t>E Year Ended 2023</t>
  </si>
  <si>
    <t>Percent Revenue In Location:</t>
  </si>
  <si>
    <t>YoY 𝚫 in Sales By Product</t>
  </si>
  <si>
    <t>YoY 𝚫 in COGS</t>
  </si>
  <si>
    <t>COGS/Revenue</t>
  </si>
  <si>
    <t>YoY 𝚫 in Opx</t>
  </si>
  <si>
    <t>Other income, net</t>
  </si>
  <si>
    <t>Opx/Revenue</t>
  </si>
  <si>
    <t>current assets:</t>
  </si>
  <si>
    <t> </t>
  </si>
  <si>
    <t>marketable securities</t>
  </si>
  <si>
    <t>other current assets</t>
  </si>
  <si>
    <t>total current assets</t>
  </si>
  <si>
    <t>non-current assets:</t>
  </si>
  <si>
    <t>property, plant and equipment, net</t>
  </si>
  <si>
    <t>goodwill</t>
  </si>
  <si>
    <t>acquired intangible assets, net</t>
  </si>
  <si>
    <t>other non-current assets</t>
  </si>
  <si>
    <t>total non-current assets</t>
  </si>
  <si>
    <t>total assets</t>
  </si>
  <si>
    <t>current liabilities:</t>
  </si>
  <si>
    <t>accrued expenses</t>
  </si>
  <si>
    <t>commercial paper and repurchase agreements</t>
  </si>
  <si>
    <t>other current liabilities</t>
  </si>
  <si>
    <t>total current liabilities</t>
  </si>
  <si>
    <t>non-current liabilities:</t>
  </si>
  <si>
    <t>other non-current liabilities</t>
  </si>
  <si>
    <t>total non-current liabilities</t>
  </si>
  <si>
    <t>total liabilities</t>
  </si>
  <si>
    <t>commitments and contingencies</t>
  </si>
  <si>
    <t xml:space="preserve"> </t>
  </si>
  <si>
    <t>shareholders’ equity:</t>
  </si>
  <si>
    <t>common stock and additional paid-in capital,. par value: shares authorized; and shares issued and outstanding, respectively</t>
  </si>
  <si>
    <t>retained earnings</t>
  </si>
  <si>
    <t>accumulated other comprehensive income</t>
  </si>
  <si>
    <t>total shareholders’ equity</t>
  </si>
  <si>
    <t>total liabilities and shareholders’ equity</t>
  </si>
  <si>
    <t>6mo 2017</t>
  </si>
  <si>
    <t>9mo 2017</t>
  </si>
  <si>
    <t>6mo 2018</t>
  </si>
  <si>
    <t>9mo 2018</t>
  </si>
  <si>
    <t>6mo 2019</t>
  </si>
  <si>
    <t>9mo 2019</t>
  </si>
  <si>
    <t>6mo 2020</t>
  </si>
  <si>
    <t>9mo 2020</t>
  </si>
  <si>
    <t>6mo 2021</t>
  </si>
  <si>
    <t>9mo 2021</t>
  </si>
  <si>
    <t>6mo 2022</t>
  </si>
  <si>
    <t>9mo 2022</t>
  </si>
  <si>
    <t>statement of cash flows [abstract]</t>
  </si>
  <si>
    <t>operating activities:</t>
  </si>
  <si>
    <t>financing activities:</t>
  </si>
  <si>
    <t>supplemental cash flow disclosure:</t>
  </si>
  <si>
    <t>Income statement [abstract]</t>
  </si>
  <si>
    <t>Net sales</t>
  </si>
  <si>
    <t>Cost of sales</t>
  </si>
  <si>
    <t>Gross margin</t>
  </si>
  <si>
    <t>Operating expenses:</t>
  </si>
  <si>
    <t>Research and development</t>
  </si>
  <si>
    <t>Selling, general and administrative</t>
  </si>
  <si>
    <t>Total operating expenses</t>
  </si>
  <si>
    <t>Operating income</t>
  </si>
  <si>
    <t>Income before provision for income taxes</t>
  </si>
  <si>
    <t>Net income</t>
  </si>
  <si>
    <t>Earnings per share [abstract]</t>
  </si>
  <si>
    <t>Earnings per share:</t>
  </si>
  <si>
    <t>Basic</t>
  </si>
  <si>
    <t>Diluted</t>
  </si>
  <si>
    <t>Shares used in computing earnings per share:</t>
  </si>
  <si>
    <t>Products</t>
  </si>
  <si>
    <t>Cash dividends declared per share</t>
  </si>
  <si>
    <t>Machinery, equipment and internal-use software</t>
  </si>
  <si>
    <t>Leasehold improvements</t>
  </si>
  <si>
    <t>Land and buildings</t>
  </si>
  <si>
    <t>Gross property, plant and equipment</t>
  </si>
  <si>
    <t>Accumulated depreciation and amortization</t>
  </si>
  <si>
    <t>Total property, plant and equipment, net</t>
  </si>
  <si>
    <t>Lease-Related Assets and Liabilities</t>
  </si>
  <si>
    <t>Financial Statement Line Items</t>
  </si>
  <si>
    <t>Right-of-use assets:</t>
  </si>
  <si>
    <t>Operating leases</t>
  </si>
  <si>
    <t>Other non-current assets</t>
  </si>
  <si>
    <t>Finance leases</t>
  </si>
  <si>
    <t>Property, plant and equipment, net</t>
  </si>
  <si>
    <t>Total right-of-use assets</t>
  </si>
  <si>
    <t>Lease liabilities:</t>
  </si>
  <si>
    <t>Other current liabilities</t>
  </si>
  <si>
    <t>Other non-current liabilities</t>
  </si>
  <si>
    <t>Total lease liabilities</t>
  </si>
  <si>
    <t>non current marketable securities</t>
  </si>
  <si>
    <t>current marketable securities</t>
  </si>
  <si>
    <t>other (goodwill, aquired intangible)</t>
  </si>
  <si>
    <t>recievables</t>
  </si>
  <si>
    <t>Net Leverage</t>
  </si>
  <si>
    <t xml:space="preserve">Cash-based Assets </t>
  </si>
  <si>
    <t>Leverage</t>
  </si>
  <si>
    <t>Total Debt</t>
  </si>
  <si>
    <t>current deferred revenue</t>
  </si>
  <si>
    <t>non current deferred revenue</t>
  </si>
  <si>
    <t>Total Deferred Revenue</t>
  </si>
  <si>
    <t>Total Owed</t>
  </si>
  <si>
    <t>liabilities:</t>
  </si>
  <si>
    <t>OCF</t>
  </si>
  <si>
    <t>less proceed/purchase marketable securities</t>
  </si>
  <si>
    <t>less proceed/purchase non-marketable securities</t>
  </si>
  <si>
    <t>less proceed/purchase securities</t>
  </si>
  <si>
    <t>less term debt</t>
  </si>
  <si>
    <t>Net Income</t>
  </si>
  <si>
    <t>ICF</t>
  </si>
  <si>
    <t>D&amp;A/Revenue</t>
  </si>
  <si>
    <t>Other income/Revenue</t>
  </si>
  <si>
    <t>provision for taxes/Revenue</t>
  </si>
  <si>
    <t>Cash &amp; marketable securities</t>
  </si>
  <si>
    <t>Cash &amp; cash equivalents (end of period)</t>
  </si>
  <si>
    <t>Balance</t>
  </si>
  <si>
    <t>Current assets:</t>
  </si>
  <si>
    <t>Cash and cash equivalents</t>
  </si>
  <si>
    <t>Marketable securities</t>
  </si>
  <si>
    <t>Accounts receivable, net</t>
  </si>
  <si>
    <t>Inventories</t>
  </si>
  <si>
    <t>Vendor non-trade receivables</t>
  </si>
  <si>
    <t>Other current assets</t>
  </si>
  <si>
    <t>Total current assets</t>
  </si>
  <si>
    <t>Non-current assets:</t>
  </si>
  <si>
    <t>Total non-current assets</t>
  </si>
  <si>
    <t>Total assets</t>
  </si>
  <si>
    <t>LIABILITIES AND SHAREHOLDERS’ EQUITY:</t>
  </si>
  <si>
    <t>Current liabilities:</t>
  </si>
  <si>
    <t>Accounts payable</t>
  </si>
  <si>
    <t>Deferred revenue</t>
  </si>
  <si>
    <t>Commercial paper</t>
  </si>
  <si>
    <t>Term debt</t>
  </si>
  <si>
    <t>Total current liabilities</t>
  </si>
  <si>
    <t>Non-current liabilities:</t>
  </si>
  <si>
    <t>Total non-current liabilities</t>
  </si>
  <si>
    <t>Total liabilities</t>
  </si>
  <si>
    <t>Sep. 25, 2021</t>
  </si>
  <si>
    <t>Statement of Cash Flows [Abstract]</t>
  </si>
  <si>
    <t>Cash, cash equivalents and restricted cash, beginning balances</t>
  </si>
  <si>
    <t>Operating activities:</t>
  </si>
  <si>
    <t>Adjustments to reconcile net income to cash generated by operating activities:</t>
  </si>
  <si>
    <t>Depreciation and amortization</t>
  </si>
  <si>
    <t>Share-based compensation expense</t>
  </si>
  <si>
    <t>Deferred income tax benefit</t>
  </si>
  <si>
    <t>Other</t>
  </si>
  <si>
    <t>Changes in operating assets and liabilities:</t>
  </si>
  <si>
    <t>Other current and non-current assets</t>
  </si>
  <si>
    <t>Other current and non-current liabilities</t>
  </si>
  <si>
    <t>Cash generated by operating activities</t>
  </si>
  <si>
    <t>Investing activities:</t>
  </si>
  <si>
    <t>Purchases of marketable securities</t>
  </si>
  <si>
    <t>Proceeds from maturities of marketable securities</t>
  </si>
  <si>
    <t>Proceeds from sales of marketable securities</t>
  </si>
  <si>
    <t>Payments for acquisition of property, plant and equipment</t>
  </si>
  <si>
    <t>Payments made in connection with business acquisitions, net</t>
  </si>
  <si>
    <t>Purchases of non-marketable securities</t>
  </si>
  <si>
    <t>Proceeds from non-marketable securities</t>
  </si>
  <si>
    <t>Cash generated by/(used in) investing activities</t>
  </si>
  <si>
    <t>Financing activities:</t>
  </si>
  <si>
    <t>Proceeds from issuance of common stock</t>
  </si>
  <si>
    <t>Payments for taxes related to net share settlement of equity awards</t>
  </si>
  <si>
    <t>Payments for dividends and dividend equivalents</t>
  </si>
  <si>
    <t>Repurchases of common stock</t>
  </si>
  <si>
    <t>Proceeds from issuance of term debt, net</t>
  </si>
  <si>
    <t>Repayments of term debt</t>
  </si>
  <si>
    <t>Proceeds from/(Repayments of) commercial paper, net</t>
  </si>
  <si>
    <t>Cash used in financing activities</t>
  </si>
  <si>
    <t>Increase/(Decrease) in cash, cash equivalents and restricted cash</t>
  </si>
  <si>
    <t>Cash, cash equivalents and restricted cash, ending balances</t>
  </si>
  <si>
    <t>Supplemental cash flow disclosure:</t>
  </si>
  <si>
    <t>Cash paid for income taxes, net</t>
  </si>
  <si>
    <t>Cash paid for interest</t>
  </si>
  <si>
    <t>other current and non current assets</t>
  </si>
  <si>
    <t>OTHER</t>
  </si>
  <si>
    <t>Total term Debt</t>
  </si>
  <si>
    <t>other current and non-current liabilites</t>
  </si>
  <si>
    <t>change on balance</t>
  </si>
  <si>
    <t>change on cashflow</t>
  </si>
  <si>
    <t>Total Debt (Adjusted)</t>
  </si>
  <si>
    <t>Total Debt Raw</t>
  </si>
  <si>
    <t>x</t>
  </si>
  <si>
    <t xml:space="preserve">∆ cash from debt (balance) </t>
  </si>
  <si>
    <t xml:space="preserve">∆ cash from debt (cashflow) </t>
  </si>
  <si>
    <t>Inventory/Rev</t>
  </si>
  <si>
    <t>Property/Rev (Multiple)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</si>
</sst>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.00"/>
    <numFmt numFmtId="166" formatCode="0.000%"/>
    <numFmt numFmtId="177" formatCode="0.0000%"/>
  </numFmts>
  <fonts count="28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</font>
    <font>
      <sz val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2"/>
      <color rgb="FF7030A0"/>
      <name val="Calibri"/>
      <family val="2"/>
      <scheme val="minor"/>
    </font>
    <font>
      <sz val="11"/>
      <color rgb="FF7030A0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sz val="11"/>
      <color theme="5"/>
      <name val="Calibri"/>
      <family val="2"/>
      <scheme val="minor"/>
    </font>
    <font>
      <sz val="12"/>
      <color theme="5"/>
      <name val="Calibri"/>
      <family val="2"/>
      <scheme val="minor"/>
    </font>
    <font>
      <sz val="11"/>
      <color theme="1"/>
      <name val="Times"/>
      <family val="1"/>
    </font>
    <font>
      <b/>
      <sz val="8"/>
      <color theme="1"/>
      <name val="Helvetica"/>
      <family val="2"/>
    </font>
    <font>
      <sz val="9"/>
      <color theme="1"/>
      <name val="Helvetica"/>
      <family val="2"/>
    </font>
    <font>
      <strike/>
      <sz val="12"/>
      <color theme="1"/>
      <name val="Calibri (Body)"/>
    </font>
    <font>
      <sz val="12"/>
      <color theme="1"/>
      <name val="Times"/>
      <family val="1"/>
    </font>
    <font>
      <sz val="9"/>
      <color rgb="FF000000"/>
      <name val="Helvetica"/>
      <family val="2"/>
    </font>
    <font>
      <b/>
      <sz val="9"/>
      <color rgb="FF000000"/>
      <name val="Helvetica"/>
      <family val="2"/>
    </font>
    <font>
      <strike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</cellStyleXfs>
  <cellXfs count="114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1" xfId="0" applyFont="1" applyBorder="1" applyAlignment="1">
      <alignment horizontal="center" vertical="top"/>
    </xf>
    <xf numFmtId="0" fontId="6" fillId="0" borderId="0" xfId="0" applyFont="1"/>
    <xf numFmtId="0" fontId="5" fillId="0" borderId="0" xfId="0" applyFont="1"/>
    <xf numFmtId="10" fontId="0" fillId="0" borderId="0" xfId="0" applyNumberFormat="1"/>
    <xf numFmtId="10" fontId="5" fillId="0" borderId="0" xfId="0" applyNumberFormat="1" applyFont="1"/>
    <xf numFmtId="10" fontId="1" fillId="0" borderId="0" xfId="0" applyNumberFormat="1" applyFont="1"/>
    <xf numFmtId="0" fontId="0" fillId="0" borderId="0" xfId="0" applyBorder="1"/>
    <xf numFmtId="0" fontId="0" fillId="0" borderId="2" xfId="0" applyBorder="1"/>
    <xf numFmtId="0" fontId="0" fillId="0" borderId="0" xfId="0" applyFill="1" applyBorder="1"/>
    <xf numFmtId="0" fontId="1" fillId="0" borderId="2" xfId="0" applyFont="1" applyBorder="1"/>
    <xf numFmtId="0" fontId="1" fillId="0" borderId="0" xfId="0" applyFont="1" applyBorder="1"/>
    <xf numFmtId="0" fontId="5" fillId="0" borderId="2" xfId="0" applyFont="1" applyBorder="1"/>
    <xf numFmtId="10" fontId="5" fillId="0" borderId="2" xfId="0" applyNumberFormat="1" applyFont="1" applyBorder="1"/>
    <xf numFmtId="10" fontId="0" fillId="0" borderId="2" xfId="0" applyNumberFormat="1" applyBorder="1"/>
    <xf numFmtId="10" fontId="1" fillId="0" borderId="2" xfId="0" applyNumberFormat="1" applyFont="1" applyBorder="1"/>
    <xf numFmtId="10" fontId="0" fillId="0" borderId="0" xfId="1" applyNumberFormat="1" applyFont="1"/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2" fontId="7" fillId="0" borderId="0" xfId="0" applyNumberFormat="1" applyFont="1" applyAlignment="1">
      <alignment horizontal="left"/>
    </xf>
    <xf numFmtId="164" fontId="7" fillId="0" borderId="0" xfId="0" applyNumberFormat="1" applyFont="1" applyAlignment="1">
      <alignment horizontal="left"/>
    </xf>
    <xf numFmtId="0" fontId="7" fillId="0" borderId="0" xfId="0" applyFont="1" applyAlignment="1">
      <alignment horizontal="right"/>
    </xf>
    <xf numFmtId="0" fontId="7" fillId="0" borderId="0" xfId="2" applyNumberFormat="1" applyFont="1" applyAlignment="1">
      <alignment horizontal="right"/>
    </xf>
    <xf numFmtId="0" fontId="7" fillId="0" borderId="0" xfId="0" applyNumberFormat="1" applyFont="1" applyAlignment="1">
      <alignment horizontal="right"/>
    </xf>
    <xf numFmtId="2" fontId="7" fillId="0" borderId="0" xfId="0" applyNumberFormat="1" applyFont="1" applyAlignment="1">
      <alignment horizontal="right"/>
    </xf>
    <xf numFmtId="0" fontId="8" fillId="0" borderId="0" xfId="0" applyFont="1" applyBorder="1"/>
    <xf numFmtId="0" fontId="8" fillId="0" borderId="0" xfId="0" applyFont="1" applyFill="1" applyBorder="1"/>
    <xf numFmtId="2" fontId="0" fillId="0" borderId="0" xfId="0" applyNumberFormat="1"/>
    <xf numFmtId="0" fontId="5" fillId="0" borderId="0" xfId="0" applyFont="1" applyBorder="1"/>
    <xf numFmtId="10" fontId="5" fillId="0" borderId="0" xfId="0" applyNumberFormat="1" applyFont="1" applyBorder="1"/>
    <xf numFmtId="10" fontId="0" fillId="0" borderId="0" xfId="0" applyNumberFormat="1" applyBorder="1"/>
    <xf numFmtId="10" fontId="1" fillId="0" borderId="0" xfId="0" applyNumberFormat="1" applyFont="1" applyBorder="1"/>
    <xf numFmtId="0" fontId="0" fillId="0" borderId="3" xfId="0" applyBorder="1"/>
    <xf numFmtId="9" fontId="0" fillId="0" borderId="0" xfId="1" applyFont="1"/>
    <xf numFmtId="166" fontId="0" fillId="0" borderId="0" xfId="1" applyNumberFormat="1" applyFont="1"/>
    <xf numFmtId="0" fontId="11" fillId="0" borderId="0" xfId="0" applyFont="1"/>
    <xf numFmtId="0" fontId="0" fillId="0" borderId="0" xfId="0" applyFont="1"/>
    <xf numFmtId="1" fontId="5" fillId="0" borderId="0" xfId="0" applyNumberFormat="1" applyFont="1"/>
    <xf numFmtId="177" fontId="0" fillId="0" borderId="0" xfId="1" applyNumberFormat="1" applyFont="1"/>
    <xf numFmtId="9" fontId="5" fillId="0" borderId="0" xfId="1" applyFont="1"/>
    <xf numFmtId="10" fontId="5" fillId="0" borderId="0" xfId="1" applyNumberFormat="1" applyFont="1"/>
    <xf numFmtId="10" fontId="1" fillId="0" borderId="0" xfId="1" applyNumberFormat="1" applyFont="1"/>
    <xf numFmtId="10" fontId="10" fillId="0" borderId="0" xfId="0" applyNumberFormat="1" applyFont="1"/>
    <xf numFmtId="1" fontId="0" fillId="0" borderId="0" xfId="0" applyNumberFormat="1"/>
    <xf numFmtId="1" fontId="0" fillId="0" borderId="0" xfId="0" applyNumberFormat="1" applyFont="1"/>
    <xf numFmtId="1" fontId="5" fillId="0" borderId="2" xfId="0" applyNumberFormat="1" applyFont="1" applyBorder="1"/>
    <xf numFmtId="1" fontId="0" fillId="0" borderId="2" xfId="0" applyNumberFormat="1" applyBorder="1"/>
    <xf numFmtId="10" fontId="12" fillId="0" borderId="0" xfId="0" applyNumberFormat="1" applyFont="1"/>
    <xf numFmtId="9" fontId="13" fillId="0" borderId="0" xfId="1" applyFont="1"/>
    <xf numFmtId="9" fontId="10" fillId="0" borderId="0" xfId="1" applyFont="1"/>
    <xf numFmtId="9" fontId="14" fillId="0" borderId="0" xfId="1" applyFont="1"/>
    <xf numFmtId="0" fontId="13" fillId="0" borderId="0" xfId="0" applyFont="1"/>
    <xf numFmtId="0" fontId="10" fillId="0" borderId="0" xfId="0" applyFont="1"/>
    <xf numFmtId="1" fontId="13" fillId="0" borderId="0" xfId="0" applyNumberFormat="1" applyFont="1"/>
    <xf numFmtId="1" fontId="10" fillId="0" borderId="0" xfId="0" applyNumberFormat="1" applyFont="1"/>
    <xf numFmtId="10" fontId="10" fillId="0" borderId="0" xfId="1" applyNumberFormat="1" applyFont="1"/>
    <xf numFmtId="10" fontId="10" fillId="0" borderId="0" xfId="0" applyNumberFormat="1" applyFont="1" applyBorder="1"/>
    <xf numFmtId="1" fontId="5" fillId="0" borderId="0" xfId="0" applyNumberFormat="1" applyFont="1" applyBorder="1"/>
    <xf numFmtId="1" fontId="0" fillId="0" borderId="0" xfId="0" applyNumberFormat="1" applyBorder="1"/>
    <xf numFmtId="1" fontId="0" fillId="0" borderId="0" xfId="1" applyNumberFormat="1" applyFont="1"/>
    <xf numFmtId="1" fontId="15" fillId="0" borderId="0" xfId="0" applyNumberFormat="1" applyFont="1"/>
    <xf numFmtId="1" fontId="16" fillId="0" borderId="0" xfId="0" applyNumberFormat="1" applyFont="1"/>
    <xf numFmtId="10" fontId="15" fillId="0" borderId="0" xfId="0" applyNumberFormat="1" applyFont="1"/>
    <xf numFmtId="10" fontId="15" fillId="0" borderId="0" xfId="1" applyNumberFormat="1" applyFont="1"/>
    <xf numFmtId="0" fontId="15" fillId="0" borderId="0" xfId="0" applyFont="1"/>
    <xf numFmtId="10" fontId="17" fillId="0" borderId="0" xfId="1" applyNumberFormat="1" applyFont="1"/>
    <xf numFmtId="10" fontId="17" fillId="0" borderId="0" xfId="0" applyNumberFormat="1" applyFont="1"/>
    <xf numFmtId="0" fontId="17" fillId="0" borderId="0" xfId="0" applyFont="1"/>
    <xf numFmtId="1" fontId="17" fillId="0" borderId="0" xfId="0" applyNumberFormat="1" applyFont="1"/>
    <xf numFmtId="10" fontId="15" fillId="0" borderId="2" xfId="0" applyNumberFormat="1" applyFont="1" applyBorder="1"/>
    <xf numFmtId="1" fontId="0" fillId="0" borderId="0" xfId="0" applyNumberFormat="1" applyFill="1" applyBorder="1"/>
    <xf numFmtId="9" fontId="15" fillId="0" borderId="0" xfId="1" applyFont="1"/>
    <xf numFmtId="1" fontId="15" fillId="0" borderId="0" xfId="0" applyNumberFormat="1" applyFont="1" applyFill="1" applyBorder="1"/>
    <xf numFmtId="9" fontId="18" fillId="0" borderId="0" xfId="1" applyFont="1" applyBorder="1"/>
    <xf numFmtId="9" fontId="19" fillId="0" borderId="0" xfId="1" applyFont="1"/>
    <xf numFmtId="1" fontId="19" fillId="0" borderId="0" xfId="0" applyNumberFormat="1" applyFont="1" applyFill="1" applyBorder="1"/>
    <xf numFmtId="0" fontId="19" fillId="0" borderId="0" xfId="0" applyFont="1"/>
    <xf numFmtId="0" fontId="0" fillId="0" borderId="2" xfId="0" applyNumberFormat="1" applyBorder="1"/>
    <xf numFmtId="1" fontId="16" fillId="0" borderId="2" xfId="0" applyNumberFormat="1" applyFont="1" applyBorder="1"/>
    <xf numFmtId="11" fontId="5" fillId="0" borderId="0" xfId="0" applyNumberFormat="1" applyFont="1"/>
    <xf numFmtId="0" fontId="20" fillId="0" borderId="0" xfId="0" applyFont="1"/>
    <xf numFmtId="0" fontId="21" fillId="0" borderId="0" xfId="0" applyFont="1"/>
    <xf numFmtId="0" fontId="22" fillId="0" borderId="0" xfId="0" applyFont="1"/>
    <xf numFmtId="0" fontId="0" fillId="0" borderId="2" xfId="0" applyFill="1" applyBorder="1"/>
    <xf numFmtId="9" fontId="12" fillId="0" borderId="0" xfId="1" applyFont="1"/>
    <xf numFmtId="1" fontId="8" fillId="0" borderId="0" xfId="0" applyNumberFormat="1" applyFont="1" applyAlignment="1">
      <alignment horizontal="left"/>
    </xf>
    <xf numFmtId="0" fontId="23" fillId="0" borderId="0" xfId="0" applyFont="1"/>
    <xf numFmtId="1" fontId="23" fillId="0" borderId="0" xfId="0" applyNumberFormat="1" applyFont="1"/>
    <xf numFmtId="2" fontId="23" fillId="0" borderId="0" xfId="0" applyNumberFormat="1" applyFont="1"/>
    <xf numFmtId="0" fontId="23" fillId="0" borderId="0" xfId="0" applyFont="1" applyBorder="1"/>
    <xf numFmtId="1" fontId="23" fillId="0" borderId="0" xfId="0" applyNumberFormat="1" applyFont="1" applyBorder="1"/>
    <xf numFmtId="0" fontId="23" fillId="0" borderId="0" xfId="0" applyFont="1" applyFill="1" applyBorder="1"/>
    <xf numFmtId="177" fontId="23" fillId="0" borderId="0" xfId="1" applyNumberFormat="1" applyFont="1"/>
    <xf numFmtId="1" fontId="10" fillId="0" borderId="0" xfId="0" applyNumberFormat="1" applyFont="1" applyBorder="1"/>
    <xf numFmtId="1" fontId="15" fillId="0" borderId="0" xfId="0" applyNumberFormat="1" applyFont="1" applyBorder="1"/>
    <xf numFmtId="0" fontId="15" fillId="0" borderId="3" xfId="0" applyFont="1" applyBorder="1"/>
    <xf numFmtId="0" fontId="15" fillId="0" borderId="2" xfId="0" applyFont="1" applyBorder="1"/>
    <xf numFmtId="1" fontId="15" fillId="0" borderId="2" xfId="0" applyNumberFormat="1" applyFont="1" applyBorder="1"/>
    <xf numFmtId="1" fontId="10" fillId="0" borderId="2" xfId="0" applyNumberFormat="1" applyFont="1" applyBorder="1"/>
    <xf numFmtId="3" fontId="25" fillId="0" borderId="0" xfId="0" applyNumberFormat="1" applyFont="1"/>
    <xf numFmtId="0" fontId="3" fillId="0" borderId="0" xfId="3"/>
    <xf numFmtId="0" fontId="27" fillId="0" borderId="0" xfId="3" applyFont="1"/>
    <xf numFmtId="0" fontId="3" fillId="0" borderId="2" xfId="3" applyBorder="1"/>
    <xf numFmtId="0" fontId="11" fillId="0" borderId="0" xfId="3" applyFont="1"/>
    <xf numFmtId="0" fontId="4" fillId="0" borderId="1" xfId="3" applyFont="1" applyBorder="1" applyAlignment="1">
      <alignment horizontal="center" vertical="top"/>
    </xf>
    <xf numFmtId="0" fontId="24" fillId="0" borderId="0" xfId="3" applyFont="1"/>
    <xf numFmtId="3" fontId="25" fillId="0" borderId="0" xfId="3" applyNumberFormat="1" applyFont="1"/>
    <xf numFmtId="0" fontId="25" fillId="0" borderId="0" xfId="3" applyFont="1"/>
    <xf numFmtId="0" fontId="26" fillId="0" borderId="0" xfId="3" applyFont="1"/>
    <xf numFmtId="3" fontId="24" fillId="0" borderId="0" xfId="3" applyNumberFormat="1" applyFont="1"/>
    <xf numFmtId="3" fontId="3" fillId="0" borderId="0" xfId="3" applyNumberFormat="1"/>
    <xf numFmtId="0" fontId="4" fillId="0" borderId="0" xfId="0" applyFont="1" applyBorder="1" applyAlignment="1">
      <alignment horizontal="center" vertical="top"/>
    </xf>
  </cellXfs>
  <cellStyles count="4">
    <cellStyle name="Currency" xfId="2" builtinId="4"/>
    <cellStyle name="Normal" xfId="0" builtinId="0"/>
    <cellStyle name="Normal 2" xfId="3" xr:uid="{1365B3A7-B6CA-B247-9BEE-2998E668DCFF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analysis!$A$7</c:f>
              <c:strCache>
                <c:ptCount val="1"/>
                <c:pt idx="0">
                  <c:v>Total net sales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analysis!$B$7:$G$7</c:f>
              <c:numCache>
                <c:formatCode>General</c:formatCode>
                <c:ptCount val="6"/>
                <c:pt idx="0">
                  <c:v>229234</c:v>
                </c:pt>
                <c:pt idx="1">
                  <c:v>265595</c:v>
                </c:pt>
                <c:pt idx="2">
                  <c:v>260174</c:v>
                </c:pt>
                <c:pt idx="3">
                  <c:v>274515</c:v>
                </c:pt>
                <c:pt idx="4">
                  <c:v>365817</c:v>
                </c:pt>
                <c:pt idx="5">
                  <c:v>387542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7E-CC4C-99F7-A39177F19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742703"/>
        <c:axId val="1608581343"/>
      </c:scatterChart>
      <c:valAx>
        <c:axId val="480742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8581343"/>
        <c:crosses val="autoZero"/>
        <c:crossBetween val="midCat"/>
      </c:valAx>
      <c:valAx>
        <c:axId val="160858134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807427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508000</xdr:colOff>
      <xdr:row>11</xdr:row>
      <xdr:rowOff>69850</xdr:rowOff>
    </xdr:from>
    <xdr:to>
      <xdr:col>13</xdr:col>
      <xdr:colOff>101600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3230D7-EA83-5C2B-6DCF-1117DA1E5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F85C5-892A-5140-9EB7-0209B904B415}">
  <sheetPr codeName="Sheet1"/>
  <dimension ref="A1:AG238"/>
  <sheetViews>
    <sheetView tabSelected="1"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C6" sqref="C6"/>
    </sheetView>
  </sheetViews>
  <sheetFormatPr baseColWidth="10" defaultRowHeight="16" x14ac:dyDescent="0.2"/>
  <cols>
    <col min="1" max="1" width="22" customWidth="1"/>
    <col min="2" max="2" width="31" customWidth="1"/>
    <col min="3" max="30" width="11.6640625" bestFit="1" customWidth="1"/>
    <col min="31" max="31" width="11.6640625" customWidth="1"/>
    <col min="32" max="32" width="11.6640625" bestFit="1" customWidth="1"/>
  </cols>
  <sheetData>
    <row r="1" spans="2:33" ht="15" customHeight="1" x14ac:dyDescent="0.2">
      <c r="B1" s="4"/>
      <c r="C1" s="4" t="s">
        <v>73</v>
      </c>
      <c r="D1" s="4" t="s">
        <v>44</v>
      </c>
      <c r="E1" s="4" t="s">
        <v>45</v>
      </c>
      <c r="F1" s="4" t="s">
        <v>68</v>
      </c>
      <c r="G1" s="4" t="s">
        <v>46</v>
      </c>
      <c r="H1" s="4" t="s">
        <v>74</v>
      </c>
      <c r="I1" s="4" t="s">
        <v>47</v>
      </c>
      <c r="J1" s="4" t="s">
        <v>48</v>
      </c>
      <c r="K1" s="4" t="s">
        <v>69</v>
      </c>
      <c r="L1" s="4" t="s">
        <v>49</v>
      </c>
      <c r="M1" s="4" t="s">
        <v>75</v>
      </c>
      <c r="N1" s="4" t="s">
        <v>50</v>
      </c>
      <c r="O1" s="4" t="s">
        <v>51</v>
      </c>
      <c r="P1" s="4" t="s">
        <v>70</v>
      </c>
      <c r="Q1" s="4" t="s">
        <v>52</v>
      </c>
      <c r="R1" s="4" t="s">
        <v>76</v>
      </c>
      <c r="S1" s="4" t="s">
        <v>53</v>
      </c>
      <c r="T1" s="4" t="s">
        <v>54</v>
      </c>
      <c r="U1" s="4" t="s">
        <v>71</v>
      </c>
      <c r="V1" s="4" t="s">
        <v>55</v>
      </c>
      <c r="W1" s="4" t="s">
        <v>77</v>
      </c>
      <c r="X1" s="4" t="s">
        <v>56</v>
      </c>
      <c r="Y1" s="4" t="s">
        <v>57</v>
      </c>
      <c r="Z1" s="4" t="s">
        <v>72</v>
      </c>
      <c r="AA1" s="4" t="s">
        <v>58</v>
      </c>
      <c r="AB1" s="4" t="s">
        <v>78</v>
      </c>
      <c r="AC1" s="4" t="s">
        <v>59</v>
      </c>
      <c r="AD1" s="4" t="s">
        <v>60</v>
      </c>
      <c r="AE1" s="4"/>
      <c r="AF1" s="4" t="s">
        <v>148</v>
      </c>
      <c r="AG1" s="4" t="s">
        <v>152</v>
      </c>
    </row>
    <row r="2" spans="2:33" ht="15" customHeight="1" x14ac:dyDescent="0.2"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</row>
    <row r="3" spans="2:33" s="6" customFormat="1" ht="15" customHeight="1" x14ac:dyDescent="0.2">
      <c r="B3" s="6" t="s">
        <v>171</v>
      </c>
    </row>
    <row r="4" spans="2:33" s="6" customFormat="1" x14ac:dyDescent="0.2">
      <c r="B4" s="7" t="s">
        <v>104</v>
      </c>
      <c r="C4" s="8"/>
      <c r="D4" s="8"/>
      <c r="E4" s="8"/>
      <c r="F4" s="8"/>
      <c r="G4" s="6">
        <v>1.0552954523428637E-2</v>
      </c>
      <c r="H4" s="8">
        <f>H10/C10-1</f>
        <v>0.14663490695039338</v>
      </c>
      <c r="I4" s="8">
        <f>I10/D10-1</f>
        <v>0.11200295093485035</v>
      </c>
      <c r="J4" s="8">
        <f>J10/E10-1</f>
        <v>0.19566900728341285</v>
      </c>
      <c r="K4" s="8">
        <f t="shared" ref="K4:L6" si="0">K10/F10-1</f>
        <v>0.28325850562910371</v>
      </c>
      <c r="L4" s="8">
        <f t="shared" si="0"/>
        <v>0.17436000418462227</v>
      </c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</row>
    <row r="5" spans="2:33" s="6" customFormat="1" x14ac:dyDescent="0.2">
      <c r="B5" s="7" t="s">
        <v>106</v>
      </c>
      <c r="G5" s="6">
        <v>8.7121986494613113E-2</v>
      </c>
      <c r="H5" s="8">
        <f>H11/C11-1</f>
        <v>6.0494724898862984E-4</v>
      </c>
      <c r="I5" s="8">
        <f>I11/D11-1</f>
        <v>3.0376179221135891E-2</v>
      </c>
      <c r="J5" s="8">
        <f>J11/E11-1</f>
        <v>9.9706570061685706E-2</v>
      </c>
      <c r="K5" s="8">
        <f t="shared" si="0"/>
        <v>5.0582318234302814E-2</v>
      </c>
      <c r="L5" s="8">
        <f t="shared" si="0"/>
        <v>4.2255623587417634E-2</v>
      </c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</row>
    <row r="6" spans="2:33" s="6" customFormat="1" x14ac:dyDescent="0.2">
      <c r="B6" s="7" t="s">
        <v>105</v>
      </c>
      <c r="G6" s="6">
        <v>-2.9035826085972993E-2</v>
      </c>
      <c r="H6" s="8">
        <f>H12/C12-1</f>
        <v>5.2301803179679363E-2</v>
      </c>
      <c r="I6" s="8">
        <f>I12/D12-1</f>
        <v>3.5432076962212955E-2</v>
      </c>
      <c r="J6" s="8">
        <f>J12/E12-1</f>
        <v>-5.6538071749860808E-2</v>
      </c>
      <c r="K6" s="8">
        <f t="shared" si="0"/>
        <v>-9.8874593490091867E-2</v>
      </c>
      <c r="L6" s="8">
        <f t="shared" si="0"/>
        <v>-1.6795058569677779E-2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</row>
    <row r="7" spans="2:33" s="6" customFormat="1" x14ac:dyDescent="0.2">
      <c r="B7" s="7" t="s">
        <v>107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</row>
    <row r="8" spans="2:33" s="38" customFormat="1" ht="15" customHeight="1" x14ac:dyDescent="0.2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</row>
    <row r="9" spans="2:33" s="38" customFormat="1" ht="15" customHeight="1" x14ac:dyDescent="0.2">
      <c r="B9" s="5" t="s">
        <v>172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</row>
    <row r="10" spans="2:33" s="38" customFormat="1" ht="15" customHeight="1" x14ac:dyDescent="0.2">
      <c r="B10" s="5" t="s">
        <v>160</v>
      </c>
      <c r="C10" s="39">
        <f>C35/C22*1000</f>
        <v>694.57146506578101</v>
      </c>
      <c r="D10" s="39">
        <f>D35/D22*1000</f>
        <v>654.98492996867799</v>
      </c>
      <c r="E10" s="39">
        <f>E35/E22*1000</f>
        <v>605.61595086042996</v>
      </c>
      <c r="F10" s="39">
        <f t="shared" ref="F10:K10" si="1">F35/F22*1000</f>
        <v>617.99173040255369</v>
      </c>
      <c r="G10" s="39">
        <f t="shared" si="1"/>
        <v>651.97272509180823</v>
      </c>
      <c r="H10" s="39">
        <f t="shared" si="1"/>
        <v>796.41988721610016</v>
      </c>
      <c r="I10" s="39">
        <f t="shared" si="1"/>
        <v>728.34517494302622</v>
      </c>
      <c r="J10" s="39">
        <f t="shared" si="1"/>
        <v>724.1162227602905</v>
      </c>
      <c r="K10" s="39">
        <f t="shared" si="1"/>
        <v>793.04314444752504</v>
      </c>
      <c r="L10" s="39">
        <f>L35/L22*1000</f>
        <v>765.65069216707548</v>
      </c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</row>
    <row r="11" spans="2:33" s="38" customFormat="1" ht="15" customHeight="1" x14ac:dyDescent="0.2">
      <c r="B11" s="5" t="s">
        <v>159</v>
      </c>
      <c r="C11" s="39">
        <f t="shared" ref="C11:L12" si="2">C36/C23*1000</f>
        <v>1347.9717156680313</v>
      </c>
      <c r="D11" s="39">
        <f>D36/D23*1000</f>
        <v>1391.7599428435342</v>
      </c>
      <c r="E11" s="39">
        <f>E36/E23*1000</f>
        <v>1302.8890959925443</v>
      </c>
      <c r="F11" s="39">
        <f t="shared" si="2"/>
        <v>1331.229112513925</v>
      </c>
      <c r="G11" s="39">
        <f t="shared" si="2"/>
        <v>1342.7873876681731</v>
      </c>
      <c r="H11" s="39">
        <f t="shared" si="2"/>
        <v>1348.7871674491391</v>
      </c>
      <c r="I11" s="39">
        <f t="shared" si="2"/>
        <v>1434.0362923001471</v>
      </c>
      <c r="J11" s="39">
        <f t="shared" si="2"/>
        <v>1432.7956989247311</v>
      </c>
      <c r="K11" s="39">
        <f t="shared" si="2"/>
        <v>1398.565767125873</v>
      </c>
      <c r="L11" s="39">
        <f>L36/L23*1000</f>
        <v>1399.5277060794112</v>
      </c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</row>
    <row r="12" spans="2:33" s="38" customFormat="1" ht="15" customHeight="1" x14ac:dyDescent="0.2">
      <c r="B12" s="5" t="s">
        <v>161</v>
      </c>
      <c r="C12" s="39">
        <f t="shared" si="2"/>
        <v>422.97989450347836</v>
      </c>
      <c r="D12" s="39">
        <f t="shared" si="2"/>
        <v>435.88881416722705</v>
      </c>
      <c r="E12" s="39">
        <f>E37/E24*1000</f>
        <v>434.96148459383755</v>
      </c>
      <c r="F12" s="39">
        <f t="shared" si="2"/>
        <v>467.84815030021304</v>
      </c>
      <c r="G12" s="39">
        <f t="shared" si="2"/>
        <v>439.32987452288984</v>
      </c>
      <c r="H12" s="39">
        <f t="shared" si="2"/>
        <v>445.10250569476085</v>
      </c>
      <c r="I12" s="39">
        <f t="shared" si="2"/>
        <v>451.33326017776801</v>
      </c>
      <c r="J12" s="39">
        <f t="shared" si="2"/>
        <v>410.36960096944517</v>
      </c>
      <c r="K12" s="39">
        <f t="shared" si="2"/>
        <v>421.58985462418809</v>
      </c>
      <c r="L12" s="39">
        <f t="shared" si="2"/>
        <v>431.95130354886874</v>
      </c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</row>
    <row r="13" spans="2:33" s="38" customFormat="1" ht="15" customHeight="1" x14ac:dyDescent="0.2">
      <c r="B13" s="5" t="s">
        <v>168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</row>
    <row r="14" spans="2:33" ht="15" customHeight="1" x14ac:dyDescent="0.2">
      <c r="B14" s="5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</row>
    <row r="15" spans="2:33" s="6" customFormat="1" x14ac:dyDescent="0.2">
      <c r="B15" s="6" t="s">
        <v>173</v>
      </c>
    </row>
    <row r="16" spans="2:33" s="18" customFormat="1" x14ac:dyDescent="0.2">
      <c r="B16" s="42" t="s">
        <v>104</v>
      </c>
      <c r="C16" s="43"/>
      <c r="D16" s="43"/>
      <c r="E16" s="43"/>
      <c r="F16" s="43"/>
      <c r="G16" s="18">
        <v>2.2993713541371585E-2</v>
      </c>
      <c r="H16" s="43">
        <f>H22/C22-1</f>
        <v>-1.2440924766892292E-2</v>
      </c>
      <c r="I16" s="43">
        <f>I22/D22-1</f>
        <v>2.8642909205523814E-2</v>
      </c>
      <c r="J16" s="43">
        <f>J22/E22-1</f>
        <v>6.6786915614487352E-3</v>
      </c>
      <c r="K16" s="43">
        <f t="shared" ref="K16" si="3">K22/F22-1</f>
        <v>4.5418514471795568E-3</v>
      </c>
      <c r="L16" s="43">
        <f t="shared" ref="L16" si="4">L22/G22-1</f>
        <v>4.4566240380889965E-3</v>
      </c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</row>
    <row r="17" spans="2:32" s="18" customFormat="1" x14ac:dyDescent="0.2">
      <c r="B17" s="42" t="s">
        <v>106</v>
      </c>
      <c r="G17" s="18">
        <v>4.1495347327418219E-2</v>
      </c>
      <c r="H17" s="43">
        <f>H24/C24-1</f>
        <v>6.803761180337986E-3</v>
      </c>
      <c r="I17" s="43">
        <f>I24/D24-1</f>
        <v>2.1407756108495768E-2</v>
      </c>
      <c r="J17" s="43">
        <f>J24/E24-1</f>
        <v>1.129201680672276E-2</v>
      </c>
      <c r="K17" s="43">
        <f>K24/F24-1</f>
        <v>-6.0720511330621729E-2</v>
      </c>
      <c r="L17" s="43">
        <f>L24/G24-1</f>
        <v>-4.98251548465245E-3</v>
      </c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</row>
    <row r="18" spans="2:32" s="18" customFormat="1" x14ac:dyDescent="0.2">
      <c r="B18" s="42" t="s">
        <v>105</v>
      </c>
      <c r="G18" s="18">
        <v>-4.0293924106163614E-2</v>
      </c>
      <c r="H18" s="43">
        <f>H23/C23-1</f>
        <v>-4.8753256419798996E-2</v>
      </c>
      <c r="I18" s="43">
        <f>I23/D23-1</f>
        <v>-2.8816384853536547E-2</v>
      </c>
      <c r="J18" s="43">
        <f>J23/E23-1</f>
        <v>-0.13327120223671951</v>
      </c>
      <c r="K18" s="43">
        <f>K23/F23-1</f>
        <v>-1.6152989231340564E-2</v>
      </c>
      <c r="L18" s="43">
        <f>L23/G23-1</f>
        <v>-5.4127058334631939E-2</v>
      </c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</row>
    <row r="19" spans="2:32" s="18" customFormat="1" x14ac:dyDescent="0.2">
      <c r="B19" s="42" t="s">
        <v>107</v>
      </c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</row>
    <row r="20" spans="2:32" s="6" customFormat="1" x14ac:dyDescent="0.2">
      <c r="B20" s="7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</row>
    <row r="21" spans="2:32" x14ac:dyDescent="0.2">
      <c r="B21" t="s">
        <v>158</v>
      </c>
    </row>
    <row r="22" spans="2:32" x14ac:dyDescent="0.2">
      <c r="B22" t="s">
        <v>61</v>
      </c>
      <c r="C22">
        <v>78290</v>
      </c>
      <c r="D22">
        <v>50763</v>
      </c>
      <c r="E22">
        <v>41026</v>
      </c>
      <c r="F22">
        <v>46677</v>
      </c>
      <c r="G22">
        <v>216756</v>
      </c>
      <c r="H22">
        <v>77316</v>
      </c>
      <c r="I22">
        <v>52217</v>
      </c>
      <c r="J22">
        <v>41300</v>
      </c>
      <c r="K22">
        <v>46889</v>
      </c>
      <c r="L22">
        <v>217722</v>
      </c>
    </row>
    <row r="23" spans="2:32" x14ac:dyDescent="0.2">
      <c r="B23" t="s">
        <v>62</v>
      </c>
      <c r="C23">
        <v>5374</v>
      </c>
      <c r="D23">
        <v>4199</v>
      </c>
      <c r="E23">
        <v>4292</v>
      </c>
      <c r="F23">
        <v>5386</v>
      </c>
      <c r="G23">
        <v>19251</v>
      </c>
      <c r="H23">
        <v>5112</v>
      </c>
      <c r="I23">
        <v>4078</v>
      </c>
      <c r="J23">
        <v>3720</v>
      </c>
      <c r="K23">
        <v>5299</v>
      </c>
      <c r="L23">
        <v>18209</v>
      </c>
    </row>
    <row r="24" spans="2:32" x14ac:dyDescent="0.2">
      <c r="B24" t="s">
        <v>63</v>
      </c>
      <c r="C24">
        <v>13081</v>
      </c>
      <c r="D24">
        <v>8922</v>
      </c>
      <c r="E24">
        <v>11424</v>
      </c>
      <c r="F24">
        <v>10326</v>
      </c>
      <c r="G24">
        <v>43753</v>
      </c>
      <c r="H24">
        <v>13170</v>
      </c>
      <c r="I24">
        <v>9113</v>
      </c>
      <c r="J24">
        <v>11553</v>
      </c>
      <c r="K24">
        <v>9699</v>
      </c>
      <c r="L24">
        <v>43535</v>
      </c>
    </row>
    <row r="26" spans="2:32" s="6" customFormat="1" x14ac:dyDescent="0.2">
      <c r="B26" s="6" t="s">
        <v>163</v>
      </c>
    </row>
    <row r="27" spans="2:32" s="6" customFormat="1" x14ac:dyDescent="0.2">
      <c r="B27" s="7" t="s">
        <v>104</v>
      </c>
      <c r="C27" s="8"/>
      <c r="D27" s="8"/>
      <c r="E27" s="8"/>
      <c r="F27" s="8"/>
      <c r="G27" s="6">
        <v>3.37893196781274E-2</v>
      </c>
      <c r="H27" s="8">
        <f>H35/C35-1</f>
        <v>0.13236970833793071</v>
      </c>
      <c r="I27" s="8">
        <f>I35/D35-1</f>
        <v>0.1438539504947518</v>
      </c>
      <c r="J27" s="8">
        <f>J35/E35-1</f>
        <v>0.20365451179264271</v>
      </c>
      <c r="K27" s="8">
        <f>K35/F35-1</f>
        <v>0.28908687513000064</v>
      </c>
      <c r="L27" s="8">
        <f>L35/G35-1</f>
        <v>0.1795936852086415</v>
      </c>
      <c r="M27" s="8">
        <f>M35/H35-1</f>
        <v>-0.15580745745095492</v>
      </c>
      <c r="N27" s="8">
        <f>N35/I35-1</f>
        <v>-0.18355595288178372</v>
      </c>
      <c r="O27" s="8">
        <f>O35/J35-1</f>
        <v>-0.13107737577743594</v>
      </c>
      <c r="P27" s="8">
        <f>P35/K35-1</f>
        <v>-0.10281027295952672</v>
      </c>
      <c r="Q27" s="8">
        <f>Q35/L35-1</f>
        <v>-0.14587969933832834</v>
      </c>
      <c r="R27" s="8">
        <f>R35/M35-1</f>
        <v>7.6468777653803333E-2</v>
      </c>
      <c r="S27" s="8">
        <f>S35/N35-1</f>
        <v>-6.727641621847924E-2</v>
      </c>
      <c r="T27" s="8">
        <f>T35/O35-1</f>
        <v>1.6624336181020549E-2</v>
      </c>
      <c r="U27" s="8">
        <f>U35/P35-1</f>
        <v>-0.20736166896469033</v>
      </c>
      <c r="V27" s="8">
        <f>V35/Q35-1</f>
        <v>-3.2307681502447672E-2</v>
      </c>
      <c r="W27" s="8">
        <f>W35/R35-1</f>
        <v>0.1722751398395197</v>
      </c>
      <c r="X27" s="8">
        <f>X35/S35-1</f>
        <v>0.65520336993301576</v>
      </c>
      <c r="Y27" s="8">
        <f>Y35/T35-1</f>
        <v>0.49784238019532134</v>
      </c>
      <c r="Z27" s="8">
        <f>Z35/U35-1</f>
        <v>0.46982302223566785</v>
      </c>
      <c r="AA27" s="8">
        <f>AA35/V35-1</f>
        <v>0.39331983364905176</v>
      </c>
      <c r="AB27" s="8">
        <f>AB35/W35-1</f>
        <v>9.1940180191167231E-2</v>
      </c>
      <c r="AC27" s="8">
        <f>AC35/X35-1</f>
        <v>5.4904251324627618E-2</v>
      </c>
      <c r="AD27" s="8">
        <f>AD35/Y35-1</f>
        <v>2.7672479150871787E-2</v>
      </c>
      <c r="AE27" s="8"/>
      <c r="AF27" s="8">
        <f>AF35/AG35-1</f>
        <v>0.12354287687483634</v>
      </c>
    </row>
    <row r="28" spans="2:32" s="6" customFormat="1" x14ac:dyDescent="0.2">
      <c r="B28" s="7" t="s">
        <v>106</v>
      </c>
      <c r="G28" s="6">
        <v>0.13223249091148004</v>
      </c>
      <c r="H28" s="8">
        <f>H36/C36-1</f>
        <v>-4.817780231916069E-2</v>
      </c>
      <c r="I28" s="8">
        <f>I36/D36-1</f>
        <v>6.8446269678301697E-4</v>
      </c>
      <c r="J28" s="8">
        <f>J36/E36-1</f>
        <v>-4.6852646638054329E-2</v>
      </c>
      <c r="K28" s="8">
        <f>K36/F36-1</f>
        <v>3.3612273361227407E-2</v>
      </c>
      <c r="L28" s="8">
        <f>L36/G36-1</f>
        <v>-1.4158607350096664E-2</v>
      </c>
      <c r="M28" s="8">
        <f>M36/H36-1</f>
        <v>7.5562001450326433E-2</v>
      </c>
      <c r="N28" s="8">
        <f>N36/I36-1</f>
        <v>-5.728454172366626E-2</v>
      </c>
      <c r="O28" s="8">
        <f>O36/J36-1</f>
        <v>9.1932457786116251E-2</v>
      </c>
      <c r="P28" s="8">
        <f>P36/K36-1</f>
        <v>-5.6672513830792082E-2</v>
      </c>
      <c r="Q28" s="8">
        <f>Q36/L36-1</f>
        <v>1.00455187568671E-2</v>
      </c>
      <c r="R28" s="8">
        <f>R36/M36-1</f>
        <v>-3.4519956850053934E-2</v>
      </c>
      <c r="S28" s="8">
        <f>S36/N36-1</f>
        <v>-2.9385089787774321E-2</v>
      </c>
      <c r="T28" s="8">
        <f>T36/O36-1</f>
        <v>0.21632302405498272</v>
      </c>
      <c r="U28" s="8">
        <f>U36/P36-1</f>
        <v>0.2919467887283651</v>
      </c>
      <c r="V28" s="8">
        <f>V36/Q36-1</f>
        <v>0.11196581196581201</v>
      </c>
      <c r="W28" s="8">
        <f>W36/R36-1</f>
        <v>0.21159217877094982</v>
      </c>
      <c r="X28" s="8">
        <f>X36/S36-1</f>
        <v>0.70099046907120166</v>
      </c>
      <c r="Y28" s="8">
        <f>Y36/T36-1</f>
        <v>0.16329990111597681</v>
      </c>
      <c r="Z28" s="8">
        <f>Z36/U36-1</f>
        <v>1.6164747564216153E-2</v>
      </c>
      <c r="AA28" s="8">
        <f>AA36/V36-1</f>
        <v>0.22947383131856625</v>
      </c>
      <c r="AB28" s="8">
        <f>AB36/W36-1</f>
        <v>0.2509510086455331</v>
      </c>
      <c r="AC28" s="8">
        <f>AC36/X36-1</f>
        <v>0.14645132937815863</v>
      </c>
      <c r="AD28" s="8">
        <f>AD36/Y36-1</f>
        <v>-0.10358227079538551</v>
      </c>
      <c r="AE28" s="8"/>
      <c r="AF28" s="8">
        <f>AF36/AG36-1</f>
        <v>7.9985161511243019E-2</v>
      </c>
    </row>
    <row r="29" spans="2:32" s="6" customFormat="1" x14ac:dyDescent="0.2">
      <c r="B29" s="7" t="s">
        <v>105</v>
      </c>
      <c r="G29" s="6">
        <v>-6.8159782819468662E-2</v>
      </c>
      <c r="H29" s="8">
        <f>H37/C37-1</f>
        <v>5.9461413338152802E-2</v>
      </c>
      <c r="I29" s="8">
        <f>I37/D37-1</f>
        <v>5.7598354332733415E-2</v>
      </c>
      <c r="J29" s="8">
        <f>J37/E37-1</f>
        <v>-4.588448379955723E-2</v>
      </c>
      <c r="K29" s="8">
        <f>K37/F37-1</f>
        <v>-0.15359138894638791</v>
      </c>
      <c r="L29" s="8">
        <f>L37/G37-1</f>
        <v>-2.169389241494124E-2</v>
      </c>
      <c r="M29" s="8">
        <f>M37/H37-1</f>
        <v>0.14790174002047074</v>
      </c>
      <c r="N29" s="8">
        <f>N37/I37-1</f>
        <v>0.18453683442742519</v>
      </c>
      <c r="O29" s="8">
        <f>O37/J37-1</f>
        <v>5.9481122126133767E-2</v>
      </c>
      <c r="P29" s="8">
        <f>P37/K37-1</f>
        <v>0.13866471019809246</v>
      </c>
      <c r="Q29" s="8">
        <f>Q37/L37-1</f>
        <v>0.13161393246477004</v>
      </c>
      <c r="R29" s="8">
        <f>R37/M37-1</f>
        <v>-0.11175508990934757</v>
      </c>
      <c r="S29" s="8">
        <f>S37/N37-1</f>
        <v>-0.10344827586206895</v>
      </c>
      <c r="T29" s="8">
        <f>T37/O37-1</f>
        <v>0.31037228747760293</v>
      </c>
      <c r="U29" s="8">
        <f>U37/P37-1</f>
        <v>0.45983676975945009</v>
      </c>
      <c r="V29" s="8">
        <f>V37/Q37-1</f>
        <v>0.11484962406015042</v>
      </c>
      <c r="W29" s="8">
        <f>W37/R37-1</f>
        <v>0.4112430985444202</v>
      </c>
      <c r="X29" s="8">
        <f>X37/S37-1</f>
        <v>0.78731684981684991</v>
      </c>
      <c r="Y29" s="8">
        <f>Y37/T37-1</f>
        <v>0.11941659070191424</v>
      </c>
      <c r="Z29" s="8">
        <f>Z37/U37-1</f>
        <v>0.21406502868912747</v>
      </c>
      <c r="AA29" s="8">
        <f>AA37/V37-1</f>
        <v>0.34302815714044854</v>
      </c>
      <c r="AB29" s="8">
        <f>AB37/W37-1</f>
        <v>-0.14072317723770011</v>
      </c>
      <c r="AC29" s="8">
        <f>AC37/X37-1</f>
        <v>-2.0622518252849997E-2</v>
      </c>
      <c r="AD29" s="8">
        <f>AD37/Y37-1</f>
        <v>-1.9543973941368087E-2</v>
      </c>
      <c r="AE29" s="8"/>
      <c r="AF29" s="8">
        <f>AF37/AG37-1</f>
        <v>-1.2168250731738883E-3</v>
      </c>
    </row>
    <row r="30" spans="2:32" s="6" customFormat="1" x14ac:dyDescent="0.2">
      <c r="B30" s="7" t="s">
        <v>107</v>
      </c>
      <c r="G30" s="6">
        <v>0.15549766439094492</v>
      </c>
      <c r="H30" s="8">
        <f>H38/C38-1</f>
        <v>0.36406560636182905</v>
      </c>
      <c r="I30" s="8">
        <f>I38/D38-1</f>
        <v>0.37626174730247119</v>
      </c>
      <c r="J30" s="8">
        <f>J38/E38-1</f>
        <v>0.36745886654478976</v>
      </c>
      <c r="K30" s="8">
        <f>K38/F38-1</f>
        <v>0.31043020736614046</v>
      </c>
      <c r="L30" s="8">
        <f>L38/G38-1</f>
        <v>0.35403871569618284</v>
      </c>
      <c r="M30" s="8">
        <f>M38/H38-1</f>
        <v>0.33139005283293854</v>
      </c>
      <c r="N30" s="8">
        <f>N38/I38-1</f>
        <v>0.29716742539200802</v>
      </c>
      <c r="O30" s="8">
        <f>O38/J38-1</f>
        <v>0.47727272727272729</v>
      </c>
      <c r="P30" s="8">
        <f>P38/K38-1</f>
        <v>0.53991497401983946</v>
      </c>
      <c r="Q30" s="8">
        <f>Q38/L38-1</f>
        <v>0.40563816960440957</v>
      </c>
      <c r="R30" s="8">
        <f>R38/M38-1</f>
        <v>0.36973180076628354</v>
      </c>
      <c r="S30" s="8">
        <f>S38/N38-1</f>
        <v>0.22519009553519198</v>
      </c>
      <c r="T30" s="8">
        <f>T38/O38-1</f>
        <v>0.16742081447963808</v>
      </c>
      <c r="U30" s="8">
        <f>U38/P38-1</f>
        <v>0.2079754601226993</v>
      </c>
      <c r="V30" s="8">
        <f>V38/Q38-1</f>
        <v>0.25071481088146386</v>
      </c>
      <c r="W30" s="8">
        <f>W38/R38-1</f>
        <v>0.2958041958041957</v>
      </c>
      <c r="X30" s="8">
        <f>X38/S38-1</f>
        <v>0.2469764481222152</v>
      </c>
      <c r="Y30" s="8">
        <f>Y38/T38-1</f>
        <v>0.36046511627906974</v>
      </c>
      <c r="Z30" s="8">
        <f>Z38/U38-1</f>
        <v>0.11541391569324522</v>
      </c>
      <c r="AA30" s="8">
        <f>AA38/V38-1</f>
        <v>0.2530045721750489</v>
      </c>
      <c r="AB30" s="8">
        <f>AB38/W38-1</f>
        <v>0.13337445069771037</v>
      </c>
      <c r="AC30" s="8">
        <f>AC38/X38-1</f>
        <v>0.12378764675855036</v>
      </c>
      <c r="AD30" s="8">
        <f>AD38/Y38-1</f>
        <v>-7.8746438746438718E-2</v>
      </c>
      <c r="AE30" s="8"/>
      <c r="AF30" s="8">
        <f>AF38/AG38-1</f>
        <v>7.7900581985156814E-2</v>
      </c>
    </row>
    <row r="31" spans="2:32" s="6" customFormat="1" x14ac:dyDescent="0.2">
      <c r="B31" s="7" t="s">
        <v>65</v>
      </c>
      <c r="G31" s="6">
        <v>0.23131263348118947</v>
      </c>
      <c r="H31" s="8">
        <f>H39/C39-1</f>
        <v>0.18112102621305071</v>
      </c>
      <c r="I31" s="8">
        <f>I39/D39-1</f>
        <v>0.30521232779434748</v>
      </c>
      <c r="J31" s="8">
        <f>J39/E39-1</f>
        <v>0.31406551059730248</v>
      </c>
      <c r="K31" s="8">
        <f>K39/F39-1</f>
        <v>0.1740971650394072</v>
      </c>
      <c r="L31" s="8">
        <f>L39/G39-1</f>
        <v>0.24049366244162784</v>
      </c>
      <c r="M31" s="8">
        <f>M39/H39-1</f>
        <v>0.28379176012277174</v>
      </c>
      <c r="N31" s="8">
        <f>N39/I39-1</f>
        <v>0.24591947769314482</v>
      </c>
      <c r="O31" s="8">
        <f>O39/J39-1</f>
        <v>0.19972769166317561</v>
      </c>
      <c r="P31" s="8">
        <f>P39/K39-1</f>
        <v>0.25348161506863032</v>
      </c>
      <c r="Q31" s="8">
        <f>Q39/L39-1</f>
        <v>0.24471632159182577</v>
      </c>
      <c r="R31" s="8">
        <f>R39/M39-1</f>
        <v>0.16919540229885066</v>
      </c>
      <c r="S31" s="8">
        <f>S39/N39-1</f>
        <v>0.16576419213973792</v>
      </c>
      <c r="T31" s="8">
        <f>T39/O39-1</f>
        <v>0.14849410737669144</v>
      </c>
      <c r="U31" s="8">
        <f>U39/P39-1</f>
        <v>0.16289665094716654</v>
      </c>
      <c r="V31" s="8">
        <f>V39/Q39-1</f>
        <v>0.16152167807997242</v>
      </c>
      <c r="W31" s="8">
        <f>W39/R39-1</f>
        <v>0.23955957530475813</v>
      </c>
      <c r="X31" s="8">
        <f>X39/S39-1</f>
        <v>0.26618219958046141</v>
      </c>
      <c r="Y31" s="8">
        <f>Y39/T39-1</f>
        <v>0.32912739434478566</v>
      </c>
      <c r="Z31" s="8">
        <f>Z39/U39-1</f>
        <v>0.25623754209911342</v>
      </c>
      <c r="AA31" s="8">
        <f>AA39/V39-1</f>
        <v>0.27259708376729663</v>
      </c>
      <c r="AB31" s="8">
        <f>AB39/W39-1</f>
        <v>0.23824630416851722</v>
      </c>
      <c r="AC31" s="8">
        <f>AC39/X39-1</f>
        <v>0.17277084196201398</v>
      </c>
      <c r="AD31" s="8">
        <f>AD39/Y39-1</f>
        <v>0.12112547180601618</v>
      </c>
      <c r="AE31" s="8"/>
      <c r="AF31" s="8">
        <f>AF39/AG39-1</f>
        <v>0.19353293042954078</v>
      </c>
    </row>
    <row r="32" spans="2:32" s="16" customFormat="1" ht="15" customHeight="1" x14ac:dyDescent="0.2">
      <c r="B32" s="15" t="s">
        <v>108</v>
      </c>
      <c r="G32" s="16">
        <v>6.304518199398057E-2</v>
      </c>
      <c r="H32" s="17">
        <f>H40/C40-1</f>
        <v>0.12689053107171566</v>
      </c>
      <c r="I32" s="17">
        <f>I40/D40-1</f>
        <v>0.15579627949183306</v>
      </c>
      <c r="J32" s="17">
        <f>J40/E40-1</f>
        <v>0.17303118393234662</v>
      </c>
      <c r="K32" s="17">
        <f>K40/F40-1</f>
        <v>0.19629509880370488</v>
      </c>
      <c r="L32" s="17">
        <f>L40/G40-1</f>
        <v>0.15861957650261305</v>
      </c>
      <c r="M32" s="17">
        <f>M40/H40-1</f>
        <v>-4.5111163965433243E-2</v>
      </c>
      <c r="N32" s="17">
        <f>N40/I40-1</f>
        <v>-5.1065639465462831E-2</v>
      </c>
      <c r="O32" s="17">
        <f>O40/J40-1</f>
        <v>1.0213085515817122E-2</v>
      </c>
      <c r="P32" s="17">
        <f>P40/K40-1</f>
        <v>1.8124006359300449E-2</v>
      </c>
      <c r="Q32" s="17">
        <f>Q40/L40-1</f>
        <v>-2.04107758052674E-2</v>
      </c>
      <c r="R32" s="17">
        <f>R40/M40-1</f>
        <v>8.9064167951607098E-2</v>
      </c>
      <c r="S32" s="17">
        <f>S40/N40-1</f>
        <v>5.1366026027750422E-3</v>
      </c>
      <c r="T32" s="17">
        <f>T40/O40-1</f>
        <v>0.10920106301919752</v>
      </c>
      <c r="U32" s="17">
        <f>U40/P40-1</f>
        <v>1.0274828232354816E-2</v>
      </c>
      <c r="V32" s="17">
        <f>V40/Q40-1</f>
        <v>5.5120803769784787E-2</v>
      </c>
      <c r="W32" s="17">
        <f>W40/R40-1</f>
        <v>0.21368126422635836</v>
      </c>
      <c r="X32" s="17">
        <f>X40/S40-1</f>
        <v>0.53626121105070901</v>
      </c>
      <c r="Y32" s="17">
        <f>Y40/T40-1</f>
        <v>0.36439641450950822</v>
      </c>
      <c r="Z32" s="17">
        <f>Z40/U40-1</f>
        <v>0.28844786546724777</v>
      </c>
      <c r="AA32" s="17">
        <f>AA40/V40-1</f>
        <v>0.33259384733074704</v>
      </c>
      <c r="AB32" s="17">
        <f>AB40/W40-1</f>
        <v>0.11222283042740866</v>
      </c>
      <c r="AC32" s="17">
        <f>AC40/X40-1</f>
        <v>8.5885872477228009E-2</v>
      </c>
      <c r="AD32" s="17">
        <f>AD40/Y40-1</f>
        <v>1.8726821720657316E-2</v>
      </c>
      <c r="AE32" s="17"/>
      <c r="AF32" s="17">
        <f>AF40/AG40-1</f>
        <v>0.1163370828592416</v>
      </c>
    </row>
    <row r="33" spans="2:33" s="32" customFormat="1" x14ac:dyDescent="0.2">
      <c r="B33" s="31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</row>
    <row r="34" spans="2:33" s="32" customFormat="1" x14ac:dyDescent="0.2">
      <c r="B34" s="31" t="s">
        <v>169</v>
      </c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</row>
    <row r="35" spans="2:33" x14ac:dyDescent="0.2">
      <c r="B35" s="5" t="s">
        <v>61</v>
      </c>
      <c r="C35" s="5">
        <v>54378</v>
      </c>
      <c r="D35" s="5">
        <v>33249</v>
      </c>
      <c r="E35" s="5">
        <v>24846</v>
      </c>
      <c r="F35" s="5">
        <v>28846</v>
      </c>
      <c r="G35" s="5">
        <v>141319</v>
      </c>
      <c r="H35" s="5">
        <v>61576</v>
      </c>
      <c r="I35" s="5">
        <v>38032</v>
      </c>
      <c r="J35" s="5">
        <v>29906</v>
      </c>
      <c r="K35" s="5">
        <v>37185</v>
      </c>
      <c r="L35" s="5">
        <v>166699</v>
      </c>
      <c r="M35" s="5">
        <v>51982</v>
      </c>
      <c r="N35" s="5">
        <v>31051</v>
      </c>
      <c r="O35" s="5">
        <v>25986</v>
      </c>
      <c r="P35" s="5">
        <v>33362</v>
      </c>
      <c r="Q35" s="5">
        <v>142381</v>
      </c>
      <c r="R35" s="5">
        <v>55957</v>
      </c>
      <c r="S35" s="5">
        <v>28962</v>
      </c>
      <c r="T35" s="5">
        <v>26418</v>
      </c>
      <c r="U35" s="5">
        <v>26444</v>
      </c>
      <c r="V35" s="5">
        <v>137781</v>
      </c>
      <c r="W35" s="5">
        <v>65597</v>
      </c>
      <c r="X35" s="5">
        <v>47938</v>
      </c>
      <c r="Y35" s="5">
        <v>39570</v>
      </c>
      <c r="Z35" s="5">
        <v>38868</v>
      </c>
      <c r="AA35" s="5">
        <v>191973</v>
      </c>
      <c r="AB35" s="5">
        <v>71628</v>
      </c>
      <c r="AC35" s="5">
        <v>50570</v>
      </c>
      <c r="AD35" s="5">
        <v>40665</v>
      </c>
      <c r="AE35" s="5"/>
      <c r="AF35">
        <f>AD35+AC35+AB35+Z35</f>
        <v>201731</v>
      </c>
      <c r="AG35">
        <f>Y35+X35+W35+U35</f>
        <v>179549</v>
      </c>
    </row>
    <row r="36" spans="2:33" x14ac:dyDescent="0.2">
      <c r="B36" s="5" t="s">
        <v>62</v>
      </c>
      <c r="C36" s="5">
        <v>7244</v>
      </c>
      <c r="D36" s="5">
        <v>5844</v>
      </c>
      <c r="E36" s="5">
        <v>5592</v>
      </c>
      <c r="F36" s="5">
        <v>7170</v>
      </c>
      <c r="G36" s="5">
        <v>25850</v>
      </c>
      <c r="H36" s="5">
        <v>6895</v>
      </c>
      <c r="I36" s="5">
        <v>5848</v>
      </c>
      <c r="J36" s="5">
        <v>5330</v>
      </c>
      <c r="K36" s="5">
        <v>7411</v>
      </c>
      <c r="L36" s="5">
        <v>25484</v>
      </c>
      <c r="M36" s="5">
        <v>7416</v>
      </c>
      <c r="N36" s="5">
        <v>5513</v>
      </c>
      <c r="O36" s="5">
        <v>5820</v>
      </c>
      <c r="P36" s="5">
        <v>6991</v>
      </c>
      <c r="Q36" s="5">
        <v>25740</v>
      </c>
      <c r="R36" s="5">
        <v>7160</v>
      </c>
      <c r="S36" s="5">
        <v>5351</v>
      </c>
      <c r="T36" s="5">
        <v>7079</v>
      </c>
      <c r="U36" s="5">
        <v>9032</v>
      </c>
      <c r="V36" s="5">
        <v>28622</v>
      </c>
      <c r="W36" s="5">
        <v>8675</v>
      </c>
      <c r="X36" s="5">
        <v>9102</v>
      </c>
      <c r="Y36" s="5">
        <v>8235</v>
      </c>
      <c r="Z36" s="5">
        <v>9178</v>
      </c>
      <c r="AA36" s="5">
        <v>35190</v>
      </c>
      <c r="AB36" s="5">
        <v>10852</v>
      </c>
      <c r="AC36" s="5">
        <v>10435</v>
      </c>
      <c r="AD36" s="5">
        <v>7382</v>
      </c>
      <c r="AE36" s="5"/>
      <c r="AF36">
        <f>AD36+AC36+AB36+Z36</f>
        <v>37847</v>
      </c>
      <c r="AG36">
        <f t="shared" ref="AG36:AG62" si="5">Y36+X36+W36+U36</f>
        <v>35044</v>
      </c>
    </row>
    <row r="37" spans="2:33" x14ac:dyDescent="0.2">
      <c r="B37" s="5" t="s">
        <v>63</v>
      </c>
      <c r="C37" s="5">
        <v>5533</v>
      </c>
      <c r="D37" s="5">
        <v>3889</v>
      </c>
      <c r="E37" s="5">
        <v>4969</v>
      </c>
      <c r="F37" s="5">
        <v>4831</v>
      </c>
      <c r="G37" s="5">
        <v>19222</v>
      </c>
      <c r="H37" s="5">
        <v>5862</v>
      </c>
      <c r="I37" s="5">
        <v>4113</v>
      </c>
      <c r="J37" s="5">
        <v>4741</v>
      </c>
      <c r="K37" s="5">
        <v>4089</v>
      </c>
      <c r="L37" s="5">
        <v>18805</v>
      </c>
      <c r="M37" s="5">
        <v>6729</v>
      </c>
      <c r="N37" s="5">
        <v>4872</v>
      </c>
      <c r="O37" s="5">
        <v>5023</v>
      </c>
      <c r="P37" s="5">
        <v>4656</v>
      </c>
      <c r="Q37" s="5">
        <v>21280</v>
      </c>
      <c r="R37" s="5">
        <v>5977</v>
      </c>
      <c r="S37" s="5">
        <v>4368</v>
      </c>
      <c r="T37" s="5">
        <v>6582</v>
      </c>
      <c r="U37" s="5">
        <v>6797</v>
      </c>
      <c r="V37" s="5">
        <v>23724</v>
      </c>
      <c r="W37" s="5">
        <v>8435</v>
      </c>
      <c r="X37" s="5">
        <v>7807</v>
      </c>
      <c r="Y37" s="5">
        <v>7368</v>
      </c>
      <c r="Z37" s="5">
        <v>8252</v>
      </c>
      <c r="AA37" s="5">
        <v>31862</v>
      </c>
      <c r="AB37" s="5">
        <v>7248</v>
      </c>
      <c r="AC37" s="5">
        <v>7646</v>
      </c>
      <c r="AD37" s="5">
        <v>7224</v>
      </c>
      <c r="AE37" s="5"/>
      <c r="AF37">
        <f>AD37+AC37+AB37+Z37</f>
        <v>30370</v>
      </c>
      <c r="AG37">
        <f t="shared" si="5"/>
        <v>30407</v>
      </c>
    </row>
    <row r="38" spans="2:33" x14ac:dyDescent="0.2">
      <c r="B38" s="5" t="s">
        <v>64</v>
      </c>
      <c r="C38" s="5">
        <v>4024</v>
      </c>
      <c r="D38" s="5">
        <v>2873</v>
      </c>
      <c r="E38" s="5">
        <v>2735</v>
      </c>
      <c r="F38" s="5">
        <v>3231</v>
      </c>
      <c r="G38" s="5">
        <v>12863</v>
      </c>
      <c r="H38" s="5">
        <v>5489</v>
      </c>
      <c r="I38" s="5">
        <v>3954</v>
      </c>
      <c r="J38" s="5">
        <v>3740</v>
      </c>
      <c r="K38" s="5">
        <v>4234</v>
      </c>
      <c r="L38" s="5">
        <v>17417</v>
      </c>
      <c r="M38" s="5">
        <v>7308</v>
      </c>
      <c r="N38" s="5">
        <v>5129</v>
      </c>
      <c r="O38" s="5">
        <v>5525</v>
      </c>
      <c r="P38" s="5">
        <v>6520</v>
      </c>
      <c r="Q38" s="5">
        <v>24482</v>
      </c>
      <c r="R38" s="5">
        <v>10010</v>
      </c>
      <c r="S38" s="5">
        <v>6284</v>
      </c>
      <c r="T38" s="5">
        <v>6450</v>
      </c>
      <c r="U38" s="5">
        <v>7876</v>
      </c>
      <c r="V38" s="5">
        <v>30620</v>
      </c>
      <c r="W38" s="5">
        <v>12971</v>
      </c>
      <c r="X38" s="5">
        <v>7836</v>
      </c>
      <c r="Y38" s="5">
        <v>8775</v>
      </c>
      <c r="Z38" s="5">
        <v>8785</v>
      </c>
      <c r="AA38" s="5">
        <v>38367</v>
      </c>
      <c r="AB38" s="5">
        <v>14701</v>
      </c>
      <c r="AC38" s="5">
        <v>8806</v>
      </c>
      <c r="AD38" s="5">
        <v>8084</v>
      </c>
      <c r="AE38" s="5"/>
      <c r="AF38">
        <f>AD38+AC38+AB38+Z38</f>
        <v>40376</v>
      </c>
      <c r="AG38">
        <f t="shared" si="5"/>
        <v>37458</v>
      </c>
    </row>
    <row r="39" spans="2:33" x14ac:dyDescent="0.2">
      <c r="B39" s="5" t="s">
        <v>65</v>
      </c>
      <c r="C39" s="5">
        <v>7172</v>
      </c>
      <c r="D39" s="5">
        <v>7041</v>
      </c>
      <c r="E39" s="5">
        <v>7266</v>
      </c>
      <c r="F39" s="5">
        <v>8501</v>
      </c>
      <c r="G39" s="5">
        <v>29980</v>
      </c>
      <c r="H39" s="5">
        <v>8471</v>
      </c>
      <c r="I39" s="5">
        <v>9190</v>
      </c>
      <c r="J39" s="5">
        <v>9548</v>
      </c>
      <c r="K39" s="5">
        <v>9981</v>
      </c>
      <c r="L39" s="5">
        <v>37190</v>
      </c>
      <c r="M39" s="5">
        <v>10875</v>
      </c>
      <c r="N39" s="5">
        <v>11450</v>
      </c>
      <c r="O39" s="5">
        <v>11455</v>
      </c>
      <c r="P39" s="5">
        <v>12511</v>
      </c>
      <c r="Q39" s="5">
        <v>46291</v>
      </c>
      <c r="R39" s="5">
        <v>12715</v>
      </c>
      <c r="S39" s="5">
        <v>13348</v>
      </c>
      <c r="T39" s="5">
        <v>13156</v>
      </c>
      <c r="U39" s="5">
        <v>14549</v>
      </c>
      <c r="V39" s="5">
        <v>53768</v>
      </c>
      <c r="W39" s="5">
        <v>15761</v>
      </c>
      <c r="X39" s="5">
        <v>16901</v>
      </c>
      <c r="Y39" s="5">
        <v>17486</v>
      </c>
      <c r="Z39" s="5">
        <v>18277</v>
      </c>
      <c r="AA39" s="5">
        <v>68425</v>
      </c>
      <c r="AB39" s="5">
        <v>19516</v>
      </c>
      <c r="AC39" s="5">
        <v>19821</v>
      </c>
      <c r="AD39" s="5">
        <v>19604</v>
      </c>
      <c r="AE39" s="5"/>
      <c r="AF39">
        <f>AD39+AC39+AB39+Z39</f>
        <v>77218</v>
      </c>
      <c r="AG39">
        <f t="shared" si="5"/>
        <v>64697</v>
      </c>
    </row>
    <row r="40" spans="2:33" s="10" customFormat="1" x14ac:dyDescent="0.2">
      <c r="B40" s="14" t="s">
        <v>66</v>
      </c>
      <c r="C40" s="14">
        <f>SUM(C35:C39)</f>
        <v>78351</v>
      </c>
      <c r="D40" s="14">
        <f t="shared" ref="D40:AG40" si="6">SUM(D35:D39)</f>
        <v>52896</v>
      </c>
      <c r="E40" s="14">
        <f>SUM(E35:E39)</f>
        <v>45408</v>
      </c>
      <c r="F40" s="14">
        <f t="shared" si="6"/>
        <v>52579</v>
      </c>
      <c r="G40" s="14">
        <f t="shared" si="6"/>
        <v>229234</v>
      </c>
      <c r="H40" s="14">
        <f t="shared" si="6"/>
        <v>88293</v>
      </c>
      <c r="I40" s="14">
        <f t="shared" si="6"/>
        <v>61137</v>
      </c>
      <c r="J40" s="14">
        <f t="shared" si="6"/>
        <v>53265</v>
      </c>
      <c r="K40" s="14">
        <f t="shared" si="6"/>
        <v>62900</v>
      </c>
      <c r="L40" s="14">
        <f t="shared" si="6"/>
        <v>265595</v>
      </c>
      <c r="M40" s="14">
        <f t="shared" si="6"/>
        <v>84310</v>
      </c>
      <c r="N40" s="14">
        <f t="shared" si="6"/>
        <v>58015</v>
      </c>
      <c r="O40" s="14">
        <f t="shared" si="6"/>
        <v>53809</v>
      </c>
      <c r="P40" s="14">
        <f t="shared" si="6"/>
        <v>64040</v>
      </c>
      <c r="Q40" s="14">
        <f t="shared" si="6"/>
        <v>260174</v>
      </c>
      <c r="R40" s="14">
        <f t="shared" si="6"/>
        <v>91819</v>
      </c>
      <c r="S40" s="14">
        <f t="shared" si="6"/>
        <v>58313</v>
      </c>
      <c r="T40" s="14">
        <f t="shared" si="6"/>
        <v>59685</v>
      </c>
      <c r="U40" s="14">
        <f t="shared" si="6"/>
        <v>64698</v>
      </c>
      <c r="V40" s="14">
        <f t="shared" si="6"/>
        <v>274515</v>
      </c>
      <c r="W40" s="14">
        <f t="shared" si="6"/>
        <v>111439</v>
      </c>
      <c r="X40" s="14">
        <f t="shared" si="6"/>
        <v>89584</v>
      </c>
      <c r="Y40" s="14">
        <f t="shared" si="6"/>
        <v>81434</v>
      </c>
      <c r="Z40" s="14">
        <f t="shared" si="6"/>
        <v>83360</v>
      </c>
      <c r="AA40" s="14">
        <f t="shared" si="6"/>
        <v>365817</v>
      </c>
      <c r="AB40" s="14">
        <f t="shared" si="6"/>
        <v>123945</v>
      </c>
      <c r="AC40" s="14">
        <f t="shared" si="6"/>
        <v>97278</v>
      </c>
      <c r="AD40" s="14">
        <f t="shared" si="6"/>
        <v>82959</v>
      </c>
      <c r="AE40" s="14"/>
      <c r="AF40" s="14">
        <f t="shared" si="6"/>
        <v>387542</v>
      </c>
      <c r="AG40" s="14">
        <f t="shared" si="6"/>
        <v>347155</v>
      </c>
    </row>
    <row r="41" spans="2:33" s="9" customFormat="1" x14ac:dyDescent="0.2"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</row>
    <row r="42" spans="2:33" s="6" customFormat="1" x14ac:dyDescent="0.2">
      <c r="B42" s="6" t="s">
        <v>162</v>
      </c>
    </row>
    <row r="43" spans="2:33" s="6" customFormat="1" x14ac:dyDescent="0.2">
      <c r="B43" s="7" t="s">
        <v>164</v>
      </c>
      <c r="C43" s="8"/>
      <c r="D43" s="8"/>
      <c r="E43" s="8"/>
      <c r="F43" s="8"/>
      <c r="G43" s="6">
        <v>0.11530601641785876</v>
      </c>
      <c r="H43" s="8">
        <f>H59/C59-1</f>
        <v>0.10088213213213204</v>
      </c>
      <c r="I43" s="8">
        <f>I59/D59-1</f>
        <v>0.17412676655480452</v>
      </c>
      <c r="J43" s="8">
        <f>J59/E59-1</f>
        <v>0.2044562230074598</v>
      </c>
      <c r="K43" s="8">
        <f t="shared" ref="K43:R47" si="7">K59/F59-1</f>
        <v>0.19126369106887742</v>
      </c>
      <c r="L43" s="8">
        <f t="shared" si="7"/>
        <v>0.16038302277432703</v>
      </c>
      <c r="M43" s="8">
        <f t="shared" si="7"/>
        <v>4.9640553519165742E-2</v>
      </c>
      <c r="N43" s="8">
        <f t="shared" si="7"/>
        <v>3.0393301396884231E-2</v>
      </c>
      <c r="O43" s="8">
        <f t="shared" si="7"/>
        <v>2.0943688370955948E-2</v>
      </c>
      <c r="P43" s="8">
        <f t="shared" si="7"/>
        <v>6.5595813497110855E-2</v>
      </c>
      <c r="Q43" s="8">
        <f t="shared" si="7"/>
        <v>4.3008930084840191E-2</v>
      </c>
      <c r="R43" s="8">
        <f t="shared" si="7"/>
        <v>0.11984298863021126</v>
      </c>
      <c r="S43" s="8">
        <f t="shared" ref="S43:S48" si="8">S59/N59-1</f>
        <v>-4.8054383497421194E-3</v>
      </c>
      <c r="T43" s="8">
        <f t="shared" ref="T43:T48" si="9">T59/O59-1</f>
        <v>7.8304597701149392E-2</v>
      </c>
      <c r="U43" s="8">
        <f t="shared" ref="U43:U48" si="10">U59/P59-1</f>
        <v>4.6927221881181369E-2</v>
      </c>
      <c r="V43" s="8">
        <f t="shared" ref="V43:V48" si="11">V59/Q59-1</f>
        <v>6.5364284858956179E-2</v>
      </c>
      <c r="W43" s="8">
        <f t="shared" ref="W43:W48" si="12">W59/R59-1</f>
        <v>0.11949138201948406</v>
      </c>
      <c r="X43" s="8">
        <f t="shared" ref="X43:X48" si="13">X59/S59-1</f>
        <v>0.34675931378322145</v>
      </c>
      <c r="Y43" s="8">
        <f t="shared" ref="Y43:Y48" si="14">Y59/T59-1</f>
        <v>0.32763342956547481</v>
      </c>
      <c r="Z43" s="8">
        <f t="shared" ref="Z43:Z48" si="15">Z59/U59-1</f>
        <v>0.19942667274741033</v>
      </c>
      <c r="AA43" s="8">
        <f t="shared" ref="AA43:AA48" si="16">AA59/V59-1</f>
        <v>0.23081987218600464</v>
      </c>
      <c r="AB43" s="8">
        <f t="shared" ref="AB43:AB48" si="17">AB59/W59-1</f>
        <v>0.11198445260202972</v>
      </c>
      <c r="AC43" s="8">
        <f t="shared" ref="AC43:AD48" si="18">AC59/X59-1</f>
        <v>0.19168658543694983</v>
      </c>
      <c r="AD43" s="8">
        <f t="shared" si="18"/>
        <v>4.4661276833008134E-2</v>
      </c>
      <c r="AE43" s="8"/>
      <c r="AF43" s="6">
        <f>AF59/AG59-1</f>
        <v>0.13239210783780853</v>
      </c>
    </row>
    <row r="44" spans="2:33" s="6" customFormat="1" x14ac:dyDescent="0.2">
      <c r="B44" s="7" t="s">
        <v>165</v>
      </c>
      <c r="G44" s="6">
        <v>9.9815823190262609E-2</v>
      </c>
      <c r="H44" s="8">
        <f>H60/C60-1</f>
        <v>0.13676367366772846</v>
      </c>
      <c r="I44" s="8">
        <f>I60/D60-1</f>
        <v>8.7410665200659654E-2</v>
      </c>
      <c r="J44" s="8">
        <f>J60/E60-1</f>
        <v>0.13704918032786884</v>
      </c>
      <c r="K44" s="8">
        <f t="shared" si="7"/>
        <v>0.18241217618571759</v>
      </c>
      <c r="L44" s="8">
        <f t="shared" si="7"/>
        <v>0.13618988678146282</v>
      </c>
      <c r="M44" s="8">
        <f t="shared" si="7"/>
        <v>-3.2820366676166057E-2</v>
      </c>
      <c r="N44" s="8">
        <f t="shared" si="7"/>
        <v>-5.7200635562617341E-2</v>
      </c>
      <c r="O44" s="8">
        <f t="shared" si="7"/>
        <v>-1.7548195748887774E-2</v>
      </c>
      <c r="P44" s="8">
        <f t="shared" si="7"/>
        <v>-2.8344818619165268E-2</v>
      </c>
      <c r="Q44" s="8">
        <f t="shared" si="7"/>
        <v>-3.4155719320730582E-2</v>
      </c>
      <c r="R44" s="8">
        <f t="shared" si="7"/>
        <v>0.1429062515346462</v>
      </c>
      <c r="S44" s="8">
        <f t="shared" si="8"/>
        <v>9.4990041366630917E-2</v>
      </c>
      <c r="T44" s="8">
        <f t="shared" si="9"/>
        <v>0.18851153039832291</v>
      </c>
      <c r="U44" s="8">
        <f t="shared" si="10"/>
        <v>0.13073732102234703</v>
      </c>
      <c r="V44" s="8">
        <f t="shared" si="11"/>
        <v>0.13853503184713367</v>
      </c>
      <c r="W44" s="8">
        <f t="shared" si="12"/>
        <v>0.17329093799682038</v>
      </c>
      <c r="X44" s="8">
        <f t="shared" si="13"/>
        <v>0.55757660556877009</v>
      </c>
      <c r="Y44" s="8">
        <f t="shared" si="14"/>
        <v>0.33655542228180346</v>
      </c>
      <c r="Z44" s="8">
        <f t="shared" si="15"/>
        <v>0.23041420118343203</v>
      </c>
      <c r="AA44" s="8">
        <f t="shared" si="16"/>
        <v>0.30109265734265733</v>
      </c>
      <c r="AB44" s="8">
        <f t="shared" si="17"/>
        <v>8.9467516296784622E-2</v>
      </c>
      <c r="AC44" s="8">
        <f t="shared" si="18"/>
        <v>4.5948616600790526E-2</v>
      </c>
      <c r="AD44" s="8">
        <f t="shared" si="18"/>
        <v>1.8159742385049915E-2</v>
      </c>
      <c r="AE44" s="8"/>
      <c r="AF44" s="6">
        <f t="shared" ref="AF44:AF47" si="19">AF60/AG60-1</f>
        <v>9.0197042604755806E-2</v>
      </c>
    </row>
    <row r="45" spans="2:33" s="6" customFormat="1" x14ac:dyDescent="0.2">
      <c r="B45" s="7" t="s">
        <v>166</v>
      </c>
      <c r="G45" s="6">
        <v>-7.6878660397591392E-2</v>
      </c>
      <c r="H45" s="8">
        <f>H61/C61-1</f>
        <v>0.10614180989342703</v>
      </c>
      <c r="I45" s="8">
        <f>I61/D61-1</f>
        <v>0.21424575797128464</v>
      </c>
      <c r="J45" s="8">
        <f>J61/E61-1</f>
        <v>0.19327836081959027</v>
      </c>
      <c r="K45" s="8">
        <f t="shared" si="7"/>
        <v>0.16426895214774007</v>
      </c>
      <c r="L45" s="8">
        <f t="shared" si="7"/>
        <v>0.16035206862657492</v>
      </c>
      <c r="M45" s="8">
        <f t="shared" si="7"/>
        <v>-0.26659612385832032</v>
      </c>
      <c r="N45" s="8">
        <f t="shared" si="7"/>
        <v>-0.21544840294840295</v>
      </c>
      <c r="O45" s="8">
        <f t="shared" si="7"/>
        <v>-4.1252224897916467E-2</v>
      </c>
      <c r="P45" s="8">
        <f t="shared" si="7"/>
        <v>-2.4274822539654739E-2</v>
      </c>
      <c r="Q45" s="8">
        <f t="shared" si="7"/>
        <v>-0.15910053521235223</v>
      </c>
      <c r="R45" s="8">
        <f t="shared" si="7"/>
        <v>3.1057787227579903E-2</v>
      </c>
      <c r="S45" s="8">
        <f t="shared" si="8"/>
        <v>-7.4672147191231164E-2</v>
      </c>
      <c r="T45" s="8">
        <f t="shared" si="9"/>
        <v>1.8783444359506296E-2</v>
      </c>
      <c r="U45" s="8">
        <f t="shared" si="10"/>
        <v>-0.28633015987066646</v>
      </c>
      <c r="V45" s="8">
        <f t="shared" si="11"/>
        <v>-7.7155547415174719E-2</v>
      </c>
      <c r="W45" s="8">
        <f t="shared" si="12"/>
        <v>0.56967152747090877</v>
      </c>
      <c r="X45" s="8">
        <f t="shared" si="13"/>
        <v>0.87498677948175563</v>
      </c>
      <c r="Y45" s="8">
        <f t="shared" si="14"/>
        <v>0.58237753242576917</v>
      </c>
      <c r="Z45" s="8">
        <f t="shared" si="15"/>
        <v>0.8327460357412535</v>
      </c>
      <c r="AA45" s="8">
        <f t="shared" si="16"/>
        <v>0.69609010618239564</v>
      </c>
      <c r="AB45" s="8">
        <f t="shared" si="17"/>
        <v>0.20973115000234599</v>
      </c>
      <c r="AC45" s="8">
        <f t="shared" si="18"/>
        <v>3.4690884476534345E-2</v>
      </c>
      <c r="AD45" s="8">
        <f t="shared" si="18"/>
        <v>-1.0703156753827381E-2</v>
      </c>
      <c r="AE45" s="8"/>
      <c r="AF45" s="6">
        <f t="shared" si="19"/>
        <v>0.18695039595782936</v>
      </c>
    </row>
    <row r="46" spans="2:33" s="6" customFormat="1" x14ac:dyDescent="0.2">
      <c r="B46" s="7" t="s">
        <v>167</v>
      </c>
      <c r="G46" s="6">
        <v>4.7554347826086918E-2</v>
      </c>
      <c r="H46" s="8">
        <f>H62/C62-1</f>
        <v>0.25511619840443989</v>
      </c>
      <c r="I46" s="8">
        <f>I62/D62-1</f>
        <v>0.21917502787068011</v>
      </c>
      <c r="J46" s="8">
        <f>J62/E62-1</f>
        <v>6.7052980132450424E-2</v>
      </c>
      <c r="K46" s="8">
        <f t="shared" si="7"/>
        <v>0.33773976153447371</v>
      </c>
      <c r="L46" s="8">
        <f t="shared" si="7"/>
        <v>0.22556814977725148</v>
      </c>
      <c r="M46" s="8">
        <f t="shared" si="7"/>
        <v>-4.5184468702501035E-2</v>
      </c>
      <c r="N46" s="8">
        <f t="shared" si="7"/>
        <v>1.1704462326261877E-2</v>
      </c>
      <c r="O46" s="8">
        <f t="shared" si="7"/>
        <v>5.5598655288337184E-2</v>
      </c>
      <c r="P46" s="8">
        <f t="shared" si="7"/>
        <v>-3.4683200930052283E-2</v>
      </c>
      <c r="Q46" s="8">
        <f t="shared" si="7"/>
        <v>-1.0444945474623824E-2</v>
      </c>
      <c r="R46" s="8">
        <f t="shared" si="7"/>
        <v>-9.942112879884224E-2</v>
      </c>
      <c r="S46" s="8">
        <f t="shared" si="8"/>
        <v>-5.8929862617498219E-2</v>
      </c>
      <c r="T46" s="8">
        <f t="shared" si="9"/>
        <v>0.21656050955414008</v>
      </c>
      <c r="U46" s="8">
        <f t="shared" si="10"/>
        <v>8.2296266559613862E-3</v>
      </c>
      <c r="V46" s="8">
        <f t="shared" si="11"/>
        <v>-4.0918813354412498E-3</v>
      </c>
      <c r="W46" s="8">
        <f t="shared" si="12"/>
        <v>0.33135143821308044</v>
      </c>
      <c r="X46" s="8">
        <f t="shared" si="13"/>
        <v>0.48713023434498659</v>
      </c>
      <c r="Y46" s="8">
        <f t="shared" si="14"/>
        <v>0.30165122835279901</v>
      </c>
      <c r="Z46" s="8">
        <f t="shared" si="15"/>
        <v>0.19271351781803703</v>
      </c>
      <c r="AA46" s="8">
        <f t="shared" si="16"/>
        <v>0.32981604258100661</v>
      </c>
      <c r="AB46" s="8">
        <f t="shared" si="17"/>
        <v>-0.14218467109233557</v>
      </c>
      <c r="AC46" s="8">
        <f t="shared" si="18"/>
        <v>-2.3249806251615102E-3</v>
      </c>
      <c r="AD46" s="8">
        <f t="shared" si="18"/>
        <v>-0.15748762376237624</v>
      </c>
      <c r="AE46" s="8"/>
      <c r="AF46" s="6">
        <f t="shared" si="19"/>
        <v>-4.5286036199752799E-2</v>
      </c>
    </row>
    <row r="47" spans="2:33" s="6" customFormat="1" x14ac:dyDescent="0.2">
      <c r="B47" s="7" t="s">
        <v>157</v>
      </c>
      <c r="G47" s="6">
        <v>0.11315365460670868</v>
      </c>
      <c r="H47" s="8">
        <f>H63/C63-1</f>
        <v>0.16885553470919334</v>
      </c>
      <c r="I47" s="8">
        <f>I63/D63-1</f>
        <v>4.2951251646903721E-2</v>
      </c>
      <c r="J47" s="8">
        <f>J63/E63-1</f>
        <v>0.16049835104433852</v>
      </c>
      <c r="K47" s="8">
        <f t="shared" si="7"/>
        <v>0.21941678520625896</v>
      </c>
      <c r="L47" s="8">
        <f t="shared" si="7"/>
        <v>0.14527271531021779</v>
      </c>
      <c r="M47" s="8">
        <f t="shared" si="7"/>
        <v>1.0944112067707623E-2</v>
      </c>
      <c r="N47" s="8">
        <f t="shared" si="7"/>
        <v>-8.6659929257200563E-2</v>
      </c>
      <c r="O47" s="8">
        <f t="shared" si="7"/>
        <v>0.13324913167035057</v>
      </c>
      <c r="P47" s="8">
        <f t="shared" si="7"/>
        <v>6.6200058326042477E-2</v>
      </c>
      <c r="Q47" s="8">
        <f t="shared" si="7"/>
        <v>2.188774630895618E-2</v>
      </c>
      <c r="R47" s="8">
        <f t="shared" si="7"/>
        <v>6.495381062355654E-2</v>
      </c>
      <c r="S47" s="8">
        <f t="shared" si="8"/>
        <v>7.4688796680497882E-2</v>
      </c>
      <c r="T47" s="8">
        <f t="shared" si="9"/>
        <v>0.1699637782112009</v>
      </c>
      <c r="U47" s="8">
        <f t="shared" si="10"/>
        <v>0.12992341356673953</v>
      </c>
      <c r="V47" s="8">
        <f t="shared" si="11"/>
        <v>0.10147290308072865</v>
      </c>
      <c r="W47" s="8">
        <f t="shared" si="12"/>
        <v>0.11480075901328268</v>
      </c>
      <c r="X47" s="8">
        <f t="shared" si="13"/>
        <v>0.94182754182754191</v>
      </c>
      <c r="Y47" s="8">
        <f t="shared" si="14"/>
        <v>0.28482972136222906</v>
      </c>
      <c r="Z47" s="8">
        <f t="shared" si="15"/>
        <v>0.25683853788428945</v>
      </c>
      <c r="AA47" s="8">
        <f t="shared" si="16"/>
        <v>0.34517429694278579</v>
      </c>
      <c r="AB47" s="8">
        <f t="shared" si="17"/>
        <v>0.19270516717325226</v>
      </c>
      <c r="AC47" s="8">
        <f t="shared" si="18"/>
        <v>-6.6542948038176064E-2</v>
      </c>
      <c r="AD47" s="8">
        <f t="shared" si="18"/>
        <v>0.13994439295644123</v>
      </c>
      <c r="AE47" s="8"/>
      <c r="AF47" s="6">
        <f t="shared" si="19"/>
        <v>0.11460762996639651</v>
      </c>
    </row>
    <row r="48" spans="2:33" s="16" customFormat="1" x14ac:dyDescent="0.2">
      <c r="B48" s="15" t="s">
        <v>108</v>
      </c>
      <c r="G48" s="16">
        <v>6.304518199398057E-2</v>
      </c>
      <c r="H48" s="17">
        <f>H64/C64-1</f>
        <v>0.12689053107171566</v>
      </c>
      <c r="I48" s="17">
        <f>I64/D64-1</f>
        <v>0.15579627949183306</v>
      </c>
      <c r="J48" s="17">
        <f>J64/E64-1</f>
        <v>0.17303118393234662</v>
      </c>
      <c r="K48" s="17">
        <f t="shared" ref="K48:R48" si="20">K64/F64-1</f>
        <v>0.19629509880370488</v>
      </c>
      <c r="L48" s="17">
        <f t="shared" si="20"/>
        <v>0.15861957650261305</v>
      </c>
      <c r="M48" s="17">
        <f t="shared" si="20"/>
        <v>-4.5111163965433243E-2</v>
      </c>
      <c r="N48" s="17">
        <f t="shared" si="20"/>
        <v>-5.1065639465462831E-2</v>
      </c>
      <c r="O48" s="17">
        <f t="shared" si="20"/>
        <v>1.0213085515817122E-2</v>
      </c>
      <c r="P48" s="17">
        <f t="shared" si="20"/>
        <v>1.8124006359300449E-2</v>
      </c>
      <c r="Q48" s="17">
        <f t="shared" si="20"/>
        <v>-2.04107758052674E-2</v>
      </c>
      <c r="R48" s="17">
        <f t="shared" si="20"/>
        <v>8.9064167951607098E-2</v>
      </c>
      <c r="S48" s="17">
        <f t="shared" si="8"/>
        <v>5.1366026027750422E-3</v>
      </c>
      <c r="T48" s="17">
        <f t="shared" si="9"/>
        <v>0.10920106301919752</v>
      </c>
      <c r="U48" s="17">
        <f t="shared" si="10"/>
        <v>1.0274828232354816E-2</v>
      </c>
      <c r="V48" s="17">
        <f t="shared" si="11"/>
        <v>5.5120803769784787E-2</v>
      </c>
      <c r="W48" s="17">
        <f t="shared" si="12"/>
        <v>0.21368126422635836</v>
      </c>
      <c r="X48" s="17">
        <f t="shared" si="13"/>
        <v>0.53626121105070901</v>
      </c>
      <c r="Y48" s="17">
        <f t="shared" si="14"/>
        <v>0.36439641450950822</v>
      </c>
      <c r="Z48" s="17">
        <f t="shared" si="15"/>
        <v>0.28844786546724777</v>
      </c>
      <c r="AA48" s="17">
        <f t="shared" si="16"/>
        <v>0.33259384733074704</v>
      </c>
      <c r="AB48" s="17">
        <f t="shared" si="17"/>
        <v>0.11222283042740866</v>
      </c>
      <c r="AC48" s="17">
        <f t="shared" si="18"/>
        <v>8.5885872477228009E-2</v>
      </c>
      <c r="AD48" s="17">
        <f t="shared" ref="AD48" si="21">AD64/Y64-1</f>
        <v>1.8726821720657316E-2</v>
      </c>
      <c r="AE48" s="17"/>
      <c r="AF48" s="16">
        <f>AF64/AG64-1</f>
        <v>0.1163370828592416</v>
      </c>
    </row>
    <row r="49" spans="2:33" s="32" customFormat="1" x14ac:dyDescent="0.2">
      <c r="B49" s="31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</row>
    <row r="50" spans="2:33" s="9" customFormat="1" x14ac:dyDescent="0.2">
      <c r="B50" s="30" t="s">
        <v>178</v>
      </c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/>
    </row>
    <row r="51" spans="2:33" x14ac:dyDescent="0.2">
      <c r="B51" t="s">
        <v>153</v>
      </c>
      <c r="C51" s="35">
        <f>C59/C64</f>
        <v>0.4080101083585404</v>
      </c>
      <c r="D51" s="35">
        <f t="shared" ref="D51:AD51" si="22">D59/D64</f>
        <v>0.39997353297035693</v>
      </c>
      <c r="E51" s="35">
        <f>E59/E64</f>
        <v>0.44873150105708243</v>
      </c>
      <c r="F51" s="35">
        <f t="shared" si="22"/>
        <v>0.43931988056068011</v>
      </c>
      <c r="G51" s="35">
        <f t="shared" si="22"/>
        <v>0.4214034567298045</v>
      </c>
      <c r="H51" s="35">
        <f t="shared" si="22"/>
        <v>0.39859331996874042</v>
      </c>
      <c r="I51" s="35">
        <f t="shared" si="22"/>
        <v>0.40631696026955855</v>
      </c>
      <c r="J51" s="35">
        <f t="shared" si="22"/>
        <v>0.4607528395757064</v>
      </c>
      <c r="K51" s="35">
        <f t="shared" si="22"/>
        <v>0.43747217806041333</v>
      </c>
      <c r="L51" s="35">
        <f t="shared" si="22"/>
        <v>0.42204484271164744</v>
      </c>
      <c r="M51" s="35">
        <f t="shared" si="22"/>
        <v>0.43814494128810344</v>
      </c>
      <c r="N51" s="35">
        <f t="shared" si="22"/>
        <v>0.4411962423511161</v>
      </c>
      <c r="O51" s="35">
        <f t="shared" si="22"/>
        <v>0.46564701072311321</v>
      </c>
      <c r="P51" s="35">
        <f t="shared" si="22"/>
        <v>0.45787008119925049</v>
      </c>
      <c r="Q51" s="35">
        <f t="shared" si="22"/>
        <v>0.44936849954261376</v>
      </c>
      <c r="R51" s="35">
        <f t="shared" si="22"/>
        <v>0.45052766856532961</v>
      </c>
      <c r="S51" s="35">
        <f t="shared" si="22"/>
        <v>0.43683226724744051</v>
      </c>
      <c r="T51" s="35">
        <f t="shared" si="22"/>
        <v>0.4526765518974617</v>
      </c>
      <c r="U51" s="35">
        <f t="shared" si="22"/>
        <v>0.47448143682957744</v>
      </c>
      <c r="V51" s="35">
        <f t="shared" si="22"/>
        <v>0.45373112580369013</v>
      </c>
      <c r="W51" s="35">
        <f t="shared" si="22"/>
        <v>0.41556367160509339</v>
      </c>
      <c r="X51" s="35">
        <f t="shared" si="22"/>
        <v>0.38294784782996966</v>
      </c>
      <c r="Y51" s="35">
        <f t="shared" si="22"/>
        <v>0.44047940663604884</v>
      </c>
      <c r="Z51" s="35">
        <f t="shared" si="22"/>
        <v>0.44169865642994244</v>
      </c>
      <c r="AA51" s="35">
        <f t="shared" si="22"/>
        <v>0.41907839165484384</v>
      </c>
      <c r="AB51" s="35">
        <f t="shared" si="22"/>
        <v>0.41547460567187061</v>
      </c>
      <c r="AC51" s="35">
        <f t="shared" si="22"/>
        <v>0.42025946257118774</v>
      </c>
      <c r="AD51" s="35">
        <f t="shared" si="22"/>
        <v>0.45169300497836279</v>
      </c>
      <c r="AE51" s="35"/>
      <c r="AF51" s="35">
        <f t="shared" ref="AF51" si="23">AF59/AF64</f>
        <v>0.43006951504611113</v>
      </c>
    </row>
    <row r="52" spans="2:33" x14ac:dyDescent="0.2">
      <c r="B52" t="s">
        <v>154</v>
      </c>
      <c r="C52" s="35">
        <f>C60/C64</f>
        <v>0.23638498551390538</v>
      </c>
      <c r="D52" s="35">
        <f t="shared" ref="D52:AD52" si="24">D60/D64</f>
        <v>0.24071763460375076</v>
      </c>
      <c r="E52" s="35">
        <f>E60/E64</f>
        <v>0.23509073291050034</v>
      </c>
      <c r="F52" s="35">
        <f t="shared" si="24"/>
        <v>0.24741817075258182</v>
      </c>
      <c r="G52" s="35">
        <f t="shared" si="24"/>
        <v>0.23965903836254657</v>
      </c>
      <c r="H52" s="35">
        <f t="shared" si="24"/>
        <v>0.23845604974346776</v>
      </c>
      <c r="I52" s="35">
        <f t="shared" si="24"/>
        <v>0.22647496605983283</v>
      </c>
      <c r="J52" s="35">
        <f t="shared" si="24"/>
        <v>0.22787947057166996</v>
      </c>
      <c r="K52" s="35">
        <f t="shared" si="24"/>
        <v>0.24454689984101749</v>
      </c>
      <c r="L52" s="35">
        <f t="shared" si="24"/>
        <v>0.23501948455354957</v>
      </c>
      <c r="M52" s="35">
        <f t="shared" si="24"/>
        <v>0.24152532321195588</v>
      </c>
      <c r="N52" s="35">
        <f t="shared" si="24"/>
        <v>0.22501077307592865</v>
      </c>
      <c r="O52" s="35">
        <f t="shared" si="24"/>
        <v>0.22161720158337825</v>
      </c>
      <c r="P52" s="35">
        <f t="shared" si="24"/>
        <v>0.23338538413491569</v>
      </c>
      <c r="Q52" s="35">
        <f t="shared" si="24"/>
        <v>0.23172184768654824</v>
      </c>
      <c r="R52" s="35">
        <f t="shared" si="24"/>
        <v>0.25346605822324353</v>
      </c>
      <c r="S52" s="35">
        <f t="shared" si="24"/>
        <v>0.24512544372609882</v>
      </c>
      <c r="T52" s="35">
        <f t="shared" si="24"/>
        <v>0.23746334925023038</v>
      </c>
      <c r="U52" s="35">
        <f t="shared" si="24"/>
        <v>0.26121363875235709</v>
      </c>
      <c r="V52" s="35">
        <f t="shared" si="24"/>
        <v>0.25004098136713843</v>
      </c>
      <c r="W52" s="35">
        <f t="shared" si="24"/>
        <v>0.24503091377345454</v>
      </c>
      <c r="X52" s="35">
        <f t="shared" si="24"/>
        <v>0.24852652259332023</v>
      </c>
      <c r="Y52" s="35">
        <f t="shared" si="24"/>
        <v>0.23261782547830145</v>
      </c>
      <c r="Z52" s="35">
        <f t="shared" si="24"/>
        <v>0.24944817658349328</v>
      </c>
      <c r="AA52" s="35">
        <f t="shared" si="24"/>
        <v>0.2441302618522376</v>
      </c>
      <c r="AB52" s="35">
        <f t="shared" si="24"/>
        <v>0.24001774980838275</v>
      </c>
      <c r="AC52" s="35">
        <f t="shared" si="24"/>
        <v>0.23938608935216596</v>
      </c>
      <c r="AD52" s="35">
        <f t="shared" si="24"/>
        <v>0.23248833761255561</v>
      </c>
      <c r="AE52" s="35"/>
      <c r="AF52" s="35">
        <f t="shared" ref="AF52" si="25">AF60/AF64</f>
        <v>0.24027589267743885</v>
      </c>
    </row>
    <row r="53" spans="2:33" x14ac:dyDescent="0.2">
      <c r="B53" t="s">
        <v>155</v>
      </c>
      <c r="C53" s="35">
        <f>C61/C64</f>
        <v>0.20718306084159743</v>
      </c>
      <c r="D53" s="35">
        <f t="shared" ref="D53:AD53" si="26">D61/D64</f>
        <v>0.20277525710828795</v>
      </c>
      <c r="E53" s="35">
        <f>E61/E64</f>
        <v>0.17626849894291755</v>
      </c>
      <c r="F53" s="35">
        <f t="shared" si="26"/>
        <v>0.18640521881359479</v>
      </c>
      <c r="G53" s="35">
        <f t="shared" si="26"/>
        <v>0.19527644241255659</v>
      </c>
      <c r="H53" s="35">
        <f t="shared" si="26"/>
        <v>0.20336833044522215</v>
      </c>
      <c r="I53" s="35">
        <f t="shared" si="26"/>
        <v>0.21302975285015621</v>
      </c>
      <c r="J53" s="35">
        <f t="shared" si="26"/>
        <v>0.17931099220876748</v>
      </c>
      <c r="K53" s="35">
        <f t="shared" si="26"/>
        <v>0.18141494435612082</v>
      </c>
      <c r="L53" s="35">
        <f t="shared" si="26"/>
        <v>0.19556844067094636</v>
      </c>
      <c r="M53" s="35">
        <f t="shared" si="26"/>
        <v>0.15619736686039615</v>
      </c>
      <c r="N53" s="35">
        <f t="shared" si="26"/>
        <v>0.17612686374213565</v>
      </c>
      <c r="O53" s="35">
        <f t="shared" si="26"/>
        <v>0.17017599286364735</v>
      </c>
      <c r="P53" s="35">
        <f t="shared" si="26"/>
        <v>0.17386008744534664</v>
      </c>
      <c r="Q53" s="35">
        <f t="shared" si="26"/>
        <v>0.16787995725937258</v>
      </c>
      <c r="R53" s="35">
        <f t="shared" si="26"/>
        <v>0.14787789019701805</v>
      </c>
      <c r="S53" s="35">
        <f t="shared" si="26"/>
        <v>0.16214223243530601</v>
      </c>
      <c r="T53" s="35">
        <f t="shared" si="26"/>
        <v>0.15630392896037532</v>
      </c>
      <c r="U53" s="35">
        <f t="shared" si="26"/>
        <v>0.12281677949859346</v>
      </c>
      <c r="V53" s="35">
        <f t="shared" si="26"/>
        <v>0.14683350636577236</v>
      </c>
      <c r="W53" s="35">
        <f t="shared" si="26"/>
        <v>0.19125261353745099</v>
      </c>
      <c r="X53" s="35">
        <f t="shared" si="26"/>
        <v>0.19789248080014288</v>
      </c>
      <c r="Y53" s="35">
        <f t="shared" si="26"/>
        <v>0.18127563425596188</v>
      </c>
      <c r="Z53" s="35">
        <f t="shared" si="26"/>
        <v>0.17470009596928981</v>
      </c>
      <c r="AA53" s="35">
        <f>AA61/AA64</f>
        <v>0.18688579262308749</v>
      </c>
      <c r="AB53" s="35">
        <f t="shared" si="26"/>
        <v>0.20801968615111541</v>
      </c>
      <c r="AC53" s="35">
        <f t="shared" si="26"/>
        <v>0.18856267604185942</v>
      </c>
      <c r="AD53" s="35">
        <f t="shared" si="26"/>
        <v>0.17603876613748962</v>
      </c>
      <c r="AE53" s="35"/>
      <c r="AF53" s="35">
        <f t="shared" ref="AF53" si="27">AF61/AF64</f>
        <v>0.18912272734310087</v>
      </c>
    </row>
    <row r="54" spans="2:33" x14ac:dyDescent="0.2">
      <c r="B54" t="s">
        <v>156</v>
      </c>
      <c r="C54" s="35">
        <f>C62/C64</f>
        <v>7.3591913313167667E-2</v>
      </c>
      <c r="D54" s="35">
        <f t="shared" ref="D54:AD54" si="28">D62/D64</f>
        <v>8.4789019963702361E-2</v>
      </c>
      <c r="E54" s="35">
        <f>E62/E64</f>
        <v>7.980972515856237E-2</v>
      </c>
      <c r="F54" s="35">
        <f t="shared" si="28"/>
        <v>7.3375301926624698E-2</v>
      </c>
      <c r="G54" s="35">
        <f t="shared" si="28"/>
        <v>7.7357634556828397E-2</v>
      </c>
      <c r="H54" s="35">
        <f t="shared" si="28"/>
        <v>8.1965727747386544E-2</v>
      </c>
      <c r="I54" s="35">
        <f t="shared" si="28"/>
        <v>8.9438474246364724E-2</v>
      </c>
      <c r="J54" s="35">
        <f t="shared" si="28"/>
        <v>7.2599267811883972E-2</v>
      </c>
      <c r="K54" s="35">
        <f t="shared" si="28"/>
        <v>8.2050874403815574E-2</v>
      </c>
      <c r="L54" s="35">
        <f t="shared" si="28"/>
        <v>8.1827594645983548E-2</v>
      </c>
      <c r="M54" s="35">
        <f t="shared" si="28"/>
        <v>8.1959435416913765E-2</v>
      </c>
      <c r="N54" s="35">
        <f t="shared" si="28"/>
        <v>9.53546496595708E-2</v>
      </c>
      <c r="O54" s="35">
        <f t="shared" si="28"/>
        <v>7.5860915460238987E-2</v>
      </c>
      <c r="P54" s="35">
        <f t="shared" si="28"/>
        <v>7.7795128044971892E-2</v>
      </c>
      <c r="Q54" s="35">
        <f t="shared" si="28"/>
        <v>8.2660065955860312E-2</v>
      </c>
      <c r="R54" s="35">
        <f t="shared" si="28"/>
        <v>6.7774643592284828E-2</v>
      </c>
      <c r="S54" s="35">
        <f t="shared" si="28"/>
        <v>8.9276833639154216E-2</v>
      </c>
      <c r="T54" s="35">
        <f t="shared" si="28"/>
        <v>8.3203484962720953E-2</v>
      </c>
      <c r="U54" s="35">
        <f t="shared" si="28"/>
        <v>7.7637639494265664E-2</v>
      </c>
      <c r="V54" s="35">
        <f t="shared" si="28"/>
        <v>7.8021237455148176E-2</v>
      </c>
      <c r="W54" s="35">
        <f t="shared" si="28"/>
        <v>7.4345606116350646E-2</v>
      </c>
      <c r="X54" s="35">
        <f t="shared" si="28"/>
        <v>8.6421682443293443E-2</v>
      </c>
      <c r="Y54" s="35">
        <f t="shared" si="28"/>
        <v>7.937716432939558E-2</v>
      </c>
      <c r="Z54" s="35">
        <f t="shared" si="28"/>
        <v>7.1869001919385792E-2</v>
      </c>
      <c r="AA54" s="35">
        <f t="shared" si="28"/>
        <v>7.7858601431863475E-2</v>
      </c>
      <c r="AB54" s="35">
        <f t="shared" si="28"/>
        <v>5.7339949171003268E-2</v>
      </c>
      <c r="AC54" s="35">
        <f t="shared" si="28"/>
        <v>7.9401303480745908E-2</v>
      </c>
      <c r="AD54" s="35">
        <f t="shared" si="28"/>
        <v>6.5646885811063302E-2</v>
      </c>
      <c r="AE54" s="35"/>
      <c r="AF54" s="35">
        <f t="shared" ref="AF54" si="29">AF62/AF64</f>
        <v>6.778104050657735E-2</v>
      </c>
    </row>
    <row r="55" spans="2:33" x14ac:dyDescent="0.2">
      <c r="B55" t="s">
        <v>157</v>
      </c>
      <c r="C55" s="35">
        <f>C63/C64</f>
        <v>7.4829931972789115E-2</v>
      </c>
      <c r="D55" s="35">
        <f t="shared" ref="D55:AD55" si="30">D63/D64</f>
        <v>7.1744555353901993E-2</v>
      </c>
      <c r="E55" s="35">
        <f>E63/E64</f>
        <v>6.0099541930937278E-2</v>
      </c>
      <c r="F55" s="35">
        <f t="shared" si="30"/>
        <v>5.348142794651857E-2</v>
      </c>
      <c r="G55" s="35">
        <f t="shared" si="30"/>
        <v>6.6303427938263951E-2</v>
      </c>
      <c r="H55" s="35">
        <f t="shared" si="30"/>
        <v>7.7616572095183078E-2</v>
      </c>
      <c r="I55" s="35">
        <f t="shared" si="30"/>
        <v>6.4739846574087712E-2</v>
      </c>
      <c r="J55" s="35">
        <f t="shared" si="30"/>
        <v>5.9457429831972212E-2</v>
      </c>
      <c r="K55" s="35">
        <f t="shared" si="30"/>
        <v>5.4515103338632749E-2</v>
      </c>
      <c r="L55" s="35">
        <f t="shared" si="30"/>
        <v>6.5539637417873081E-2</v>
      </c>
      <c r="M55" s="35">
        <f t="shared" si="30"/>
        <v>8.2172933222630765E-2</v>
      </c>
      <c r="N55" s="35">
        <f t="shared" si="30"/>
        <v>6.2311471171248814E-2</v>
      </c>
      <c r="O55" s="35">
        <f t="shared" si="30"/>
        <v>6.6698879369622183E-2</v>
      </c>
      <c r="P55" s="35">
        <f t="shared" si="30"/>
        <v>5.7089319175515303E-2</v>
      </c>
      <c r="Q55" s="35">
        <f t="shared" si="30"/>
        <v>6.8369629555605091E-2</v>
      </c>
      <c r="R55" s="35">
        <f t="shared" si="30"/>
        <v>8.0353739422123968E-2</v>
      </c>
      <c r="S55" s="35">
        <f t="shared" si="30"/>
        <v>6.6623222952000405E-2</v>
      </c>
      <c r="T55" s="35">
        <f t="shared" si="30"/>
        <v>7.0352684929211692E-2</v>
      </c>
      <c r="U55" s="35">
        <f t="shared" si="30"/>
        <v>6.3850505425206344E-2</v>
      </c>
      <c r="V55" s="35">
        <f t="shared" si="30"/>
        <v>7.1373149008250911E-2</v>
      </c>
      <c r="W55" s="35">
        <f t="shared" si="30"/>
        <v>7.3807194967650466E-2</v>
      </c>
      <c r="X55" s="35">
        <f t="shared" si="30"/>
        <v>8.4211466333273796E-2</v>
      </c>
      <c r="Y55" s="35">
        <f t="shared" si="30"/>
        <v>6.6249969300292255E-2</v>
      </c>
      <c r="Z55" s="35">
        <f t="shared" si="30"/>
        <v>6.2284069097888674E-2</v>
      </c>
      <c r="AA55" s="35">
        <f t="shared" si="30"/>
        <v>7.2046952437967618E-2</v>
      </c>
      <c r="AB55" s="35">
        <f t="shared" si="30"/>
        <v>7.9148009197627975E-2</v>
      </c>
      <c r="AC55" s="35">
        <f t="shared" si="30"/>
        <v>7.2390468554040993E-2</v>
      </c>
      <c r="AD55" s="35">
        <f t="shared" si="30"/>
        <v>7.41330054605287E-2</v>
      </c>
      <c r="AE55" s="35"/>
      <c r="AF55" s="35">
        <f t="shared" ref="AF55" si="31">AF63/AF64</f>
        <v>7.2750824426771804E-2</v>
      </c>
    </row>
    <row r="56" spans="2:33" s="10" customFormat="1" x14ac:dyDescent="0.2">
      <c r="B56" s="10" t="s">
        <v>66</v>
      </c>
      <c r="C56" s="35">
        <f>SUM(C51:C55)</f>
        <v>0.99999999999999989</v>
      </c>
      <c r="D56" s="35">
        <f t="shared" ref="D56:AF56" si="32">SUM(D51:D55)</f>
        <v>1</v>
      </c>
      <c r="E56" s="35">
        <f>SUM(E51:E55)</f>
        <v>0.99999999999999989</v>
      </c>
      <c r="F56" s="35">
        <f t="shared" si="32"/>
        <v>0.99999999999999989</v>
      </c>
      <c r="G56" s="35">
        <f t="shared" si="32"/>
        <v>1</v>
      </c>
      <c r="H56" s="35">
        <f t="shared" si="32"/>
        <v>1</v>
      </c>
      <c r="I56" s="35">
        <f t="shared" si="32"/>
        <v>1</v>
      </c>
      <c r="J56" s="35">
        <f t="shared" si="32"/>
        <v>1</v>
      </c>
      <c r="K56" s="35">
        <f t="shared" si="32"/>
        <v>0.99999999999999989</v>
      </c>
      <c r="L56" s="35">
        <f t="shared" si="32"/>
        <v>1</v>
      </c>
      <c r="M56" s="35">
        <f t="shared" si="32"/>
        <v>0.99999999999999989</v>
      </c>
      <c r="N56" s="35">
        <f t="shared" si="32"/>
        <v>0.99999999999999989</v>
      </c>
      <c r="O56" s="35">
        <f t="shared" si="32"/>
        <v>1</v>
      </c>
      <c r="P56" s="35">
        <f t="shared" si="32"/>
        <v>1</v>
      </c>
      <c r="Q56" s="35">
        <f t="shared" si="32"/>
        <v>1</v>
      </c>
      <c r="R56" s="35">
        <f t="shared" si="32"/>
        <v>1</v>
      </c>
      <c r="S56" s="35">
        <f t="shared" si="32"/>
        <v>0.99999999999999989</v>
      </c>
      <c r="T56" s="35">
        <f t="shared" si="32"/>
        <v>1.0000000000000002</v>
      </c>
      <c r="U56" s="35">
        <f t="shared" si="32"/>
        <v>1</v>
      </c>
      <c r="V56" s="35">
        <f t="shared" si="32"/>
        <v>1</v>
      </c>
      <c r="W56" s="35">
        <f t="shared" si="32"/>
        <v>1.0000000000000002</v>
      </c>
      <c r="X56" s="35">
        <f t="shared" si="32"/>
        <v>1</v>
      </c>
      <c r="Y56" s="35">
        <f t="shared" si="32"/>
        <v>0.99999999999999989</v>
      </c>
      <c r="Z56" s="35">
        <f t="shared" si="32"/>
        <v>1</v>
      </c>
      <c r="AA56" s="35">
        <f t="shared" si="32"/>
        <v>1</v>
      </c>
      <c r="AB56" s="35">
        <f t="shared" si="32"/>
        <v>1</v>
      </c>
      <c r="AC56" s="35">
        <f t="shared" si="32"/>
        <v>1</v>
      </c>
      <c r="AD56" s="35">
        <f t="shared" si="32"/>
        <v>1</v>
      </c>
      <c r="AE56" s="35"/>
      <c r="AF56" s="35">
        <f t="shared" si="32"/>
        <v>1</v>
      </c>
    </row>
    <row r="57" spans="2:33" s="9" customFormat="1" x14ac:dyDescent="0.2"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/>
      <c r="AG57"/>
    </row>
    <row r="58" spans="2:33" s="9" customFormat="1" x14ac:dyDescent="0.2">
      <c r="B58" s="30" t="s">
        <v>170</v>
      </c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/>
      <c r="AG58"/>
    </row>
    <row r="59" spans="2:33" x14ac:dyDescent="0.2">
      <c r="B59" t="s">
        <v>153</v>
      </c>
      <c r="C59">
        <v>31968</v>
      </c>
      <c r="D59">
        <v>21157</v>
      </c>
      <c r="E59">
        <v>20376</v>
      </c>
      <c r="F59">
        <v>23099</v>
      </c>
      <c r="G59">
        <v>96600</v>
      </c>
      <c r="H59">
        <v>35193</v>
      </c>
      <c r="I59">
        <v>24841</v>
      </c>
      <c r="J59">
        <v>24542</v>
      </c>
      <c r="K59">
        <v>27517</v>
      </c>
      <c r="L59">
        <v>112093</v>
      </c>
      <c r="M59">
        <v>36940</v>
      </c>
      <c r="N59">
        <v>25596</v>
      </c>
      <c r="O59">
        <v>25056</v>
      </c>
      <c r="P59">
        <v>29322</v>
      </c>
      <c r="Q59">
        <v>116914</v>
      </c>
      <c r="R59">
        <v>41367</v>
      </c>
      <c r="S59">
        <v>25473</v>
      </c>
      <c r="T59">
        <v>27018</v>
      </c>
      <c r="U59">
        <v>30698</v>
      </c>
      <c r="V59">
        <v>124556</v>
      </c>
      <c r="W59">
        <v>46310</v>
      </c>
      <c r="X59">
        <v>34306</v>
      </c>
      <c r="Y59">
        <v>35870</v>
      </c>
      <c r="Z59">
        <v>36820</v>
      </c>
      <c r="AA59">
        <v>153306</v>
      </c>
      <c r="AB59">
        <v>51496</v>
      </c>
      <c r="AC59">
        <v>40882</v>
      </c>
      <c r="AD59">
        <v>37472</v>
      </c>
      <c r="AF59">
        <f>AD59+AC59+AB59+Z59</f>
        <v>166670</v>
      </c>
      <c r="AG59">
        <f>Y59+X59+W59+U59</f>
        <v>147184</v>
      </c>
    </row>
    <row r="60" spans="2:33" x14ac:dyDescent="0.2">
      <c r="B60" t="s">
        <v>154</v>
      </c>
      <c r="C60">
        <v>18521</v>
      </c>
      <c r="D60">
        <v>12733</v>
      </c>
      <c r="E60">
        <v>10675</v>
      </c>
      <c r="F60">
        <v>13009</v>
      </c>
      <c r="G60">
        <v>54938</v>
      </c>
      <c r="H60">
        <v>21054</v>
      </c>
      <c r="I60">
        <v>13846</v>
      </c>
      <c r="J60">
        <v>12138</v>
      </c>
      <c r="K60">
        <v>15382</v>
      </c>
      <c r="L60">
        <v>62420</v>
      </c>
      <c r="M60">
        <v>20363</v>
      </c>
      <c r="N60">
        <v>13054</v>
      </c>
      <c r="O60">
        <v>11925</v>
      </c>
      <c r="P60">
        <v>14946</v>
      </c>
      <c r="Q60">
        <v>60288</v>
      </c>
      <c r="R60">
        <v>23273</v>
      </c>
      <c r="S60">
        <v>14294</v>
      </c>
      <c r="T60">
        <v>14173</v>
      </c>
      <c r="U60">
        <v>16900</v>
      </c>
      <c r="V60">
        <v>68640</v>
      </c>
      <c r="W60">
        <v>27306</v>
      </c>
      <c r="X60">
        <v>22264</v>
      </c>
      <c r="Y60">
        <v>18943</v>
      </c>
      <c r="Z60">
        <v>20794</v>
      </c>
      <c r="AA60">
        <v>89307</v>
      </c>
      <c r="AB60">
        <v>29749</v>
      </c>
      <c r="AC60">
        <v>23287</v>
      </c>
      <c r="AD60">
        <v>19287</v>
      </c>
      <c r="AF60">
        <f>AD60+AC60+AB60+Z60</f>
        <v>93117</v>
      </c>
      <c r="AG60">
        <f t="shared" si="5"/>
        <v>85413</v>
      </c>
    </row>
    <row r="61" spans="2:33" x14ac:dyDescent="0.2">
      <c r="B61" t="s">
        <v>155</v>
      </c>
      <c r="C61">
        <v>16233</v>
      </c>
      <c r="D61">
        <v>10726</v>
      </c>
      <c r="E61">
        <v>8004</v>
      </c>
      <c r="F61">
        <v>9801</v>
      </c>
      <c r="G61">
        <v>44764</v>
      </c>
      <c r="H61">
        <v>17956</v>
      </c>
      <c r="I61">
        <v>13024</v>
      </c>
      <c r="J61">
        <v>9551</v>
      </c>
      <c r="K61">
        <v>11411</v>
      </c>
      <c r="L61">
        <v>51942</v>
      </c>
      <c r="M61">
        <v>13169</v>
      </c>
      <c r="N61">
        <v>10218</v>
      </c>
      <c r="O61">
        <v>9157</v>
      </c>
      <c r="P61">
        <v>11134</v>
      </c>
      <c r="Q61">
        <v>43678</v>
      </c>
      <c r="R61">
        <v>13578</v>
      </c>
      <c r="S61">
        <v>9455</v>
      </c>
      <c r="T61">
        <v>9329</v>
      </c>
      <c r="U61">
        <v>7946</v>
      </c>
      <c r="V61">
        <v>40308</v>
      </c>
      <c r="W61">
        <v>21313</v>
      </c>
      <c r="X61">
        <v>17728</v>
      </c>
      <c r="Y61">
        <v>14762</v>
      </c>
      <c r="Z61">
        <v>14563</v>
      </c>
      <c r="AA61">
        <v>68366</v>
      </c>
      <c r="AB61">
        <v>25783</v>
      </c>
      <c r="AC61">
        <v>18343</v>
      </c>
      <c r="AD61">
        <v>14604</v>
      </c>
      <c r="AF61">
        <f>AD61+AC61+AB61+Z61</f>
        <v>73293</v>
      </c>
      <c r="AG61">
        <f t="shared" si="5"/>
        <v>61749</v>
      </c>
    </row>
    <row r="62" spans="2:33" x14ac:dyDescent="0.2">
      <c r="B62" t="s">
        <v>156</v>
      </c>
      <c r="C62">
        <v>5766</v>
      </c>
      <c r="D62">
        <v>4485</v>
      </c>
      <c r="E62">
        <v>3624</v>
      </c>
      <c r="F62">
        <v>3858</v>
      </c>
      <c r="G62">
        <v>17733</v>
      </c>
      <c r="H62">
        <v>7237</v>
      </c>
      <c r="I62">
        <v>5468</v>
      </c>
      <c r="J62">
        <v>3867</v>
      </c>
      <c r="K62">
        <v>5161</v>
      </c>
      <c r="L62">
        <v>21733</v>
      </c>
      <c r="M62">
        <v>6910</v>
      </c>
      <c r="N62">
        <v>5532</v>
      </c>
      <c r="O62">
        <v>4082</v>
      </c>
      <c r="P62">
        <v>4982</v>
      </c>
      <c r="Q62">
        <v>21506</v>
      </c>
      <c r="R62">
        <v>6223</v>
      </c>
      <c r="S62">
        <v>5206</v>
      </c>
      <c r="T62">
        <v>4966</v>
      </c>
      <c r="U62">
        <v>5023</v>
      </c>
      <c r="V62">
        <v>21418</v>
      </c>
      <c r="W62">
        <v>8285</v>
      </c>
      <c r="X62">
        <v>7742</v>
      </c>
      <c r="Y62">
        <v>6464</v>
      </c>
      <c r="Z62">
        <v>5991</v>
      </c>
      <c r="AA62">
        <v>28482</v>
      </c>
      <c r="AB62">
        <v>7107</v>
      </c>
      <c r="AC62">
        <v>7724</v>
      </c>
      <c r="AD62">
        <v>5446</v>
      </c>
      <c r="AF62">
        <f>AD62+AC62+AB62+Z62</f>
        <v>26268</v>
      </c>
      <c r="AG62">
        <f t="shared" si="5"/>
        <v>27514</v>
      </c>
    </row>
    <row r="63" spans="2:33" x14ac:dyDescent="0.2">
      <c r="B63" t="s">
        <v>157</v>
      </c>
      <c r="C63">
        <v>5863</v>
      </c>
      <c r="D63">
        <v>3795</v>
      </c>
      <c r="E63">
        <v>2729</v>
      </c>
      <c r="F63">
        <v>2812</v>
      </c>
      <c r="G63">
        <v>15199</v>
      </c>
      <c r="H63">
        <v>6853</v>
      </c>
      <c r="I63">
        <v>3958</v>
      </c>
      <c r="J63">
        <v>3167</v>
      </c>
      <c r="K63">
        <v>3429</v>
      </c>
      <c r="L63">
        <v>17407</v>
      </c>
      <c r="M63">
        <v>6928</v>
      </c>
      <c r="N63">
        <v>3615</v>
      </c>
      <c r="O63">
        <v>3589</v>
      </c>
      <c r="P63">
        <v>3656</v>
      </c>
      <c r="Q63">
        <v>17788</v>
      </c>
      <c r="R63">
        <v>7378</v>
      </c>
      <c r="S63">
        <v>3885</v>
      </c>
      <c r="T63">
        <v>4199</v>
      </c>
      <c r="U63">
        <v>4131</v>
      </c>
      <c r="V63">
        <v>19593</v>
      </c>
      <c r="W63">
        <v>8225</v>
      </c>
      <c r="X63">
        <v>7544</v>
      </c>
      <c r="Y63">
        <v>5395</v>
      </c>
      <c r="Z63">
        <v>5192</v>
      </c>
      <c r="AA63">
        <v>26356</v>
      </c>
      <c r="AB63">
        <v>9810</v>
      </c>
      <c r="AC63">
        <v>7042</v>
      </c>
      <c r="AD63">
        <v>6150</v>
      </c>
      <c r="AF63">
        <f>AD63+AC63+AB63+Z63</f>
        <v>28194</v>
      </c>
      <c r="AG63">
        <f>Y63+X63+W63+U63</f>
        <v>25295</v>
      </c>
    </row>
    <row r="64" spans="2:33" s="10" customFormat="1" x14ac:dyDescent="0.2">
      <c r="B64" s="10" t="s">
        <v>66</v>
      </c>
      <c r="C64" s="10">
        <f>SUM(C59:C63)</f>
        <v>78351</v>
      </c>
      <c r="D64" s="10">
        <f t="shared" ref="D64:AG64" si="33">SUM(D59:D63)</f>
        <v>52896</v>
      </c>
      <c r="E64" s="10">
        <f>SUM(E59:E63)</f>
        <v>45408</v>
      </c>
      <c r="F64" s="10">
        <f t="shared" si="33"/>
        <v>52579</v>
      </c>
      <c r="G64" s="10">
        <f t="shared" si="33"/>
        <v>229234</v>
      </c>
      <c r="H64" s="10">
        <f t="shared" si="33"/>
        <v>88293</v>
      </c>
      <c r="I64" s="10">
        <f t="shared" si="33"/>
        <v>61137</v>
      </c>
      <c r="J64" s="10">
        <f t="shared" si="33"/>
        <v>53265</v>
      </c>
      <c r="K64" s="10">
        <f t="shared" si="33"/>
        <v>62900</v>
      </c>
      <c r="L64" s="10">
        <f t="shared" si="33"/>
        <v>265595</v>
      </c>
      <c r="M64" s="10">
        <f t="shared" si="33"/>
        <v>84310</v>
      </c>
      <c r="N64" s="10">
        <f t="shared" si="33"/>
        <v>58015</v>
      </c>
      <c r="O64" s="10">
        <f t="shared" si="33"/>
        <v>53809</v>
      </c>
      <c r="P64" s="10">
        <f t="shared" si="33"/>
        <v>64040</v>
      </c>
      <c r="Q64" s="10">
        <f t="shared" si="33"/>
        <v>260174</v>
      </c>
      <c r="R64" s="10">
        <f t="shared" si="33"/>
        <v>91819</v>
      </c>
      <c r="S64" s="10">
        <f t="shared" si="33"/>
        <v>58313</v>
      </c>
      <c r="T64" s="10">
        <f t="shared" si="33"/>
        <v>59685</v>
      </c>
      <c r="U64" s="10">
        <f t="shared" si="33"/>
        <v>64698</v>
      </c>
      <c r="V64" s="10">
        <f t="shared" si="33"/>
        <v>274515</v>
      </c>
      <c r="W64" s="10">
        <f t="shared" si="33"/>
        <v>111439</v>
      </c>
      <c r="X64" s="10">
        <f t="shared" si="33"/>
        <v>89584</v>
      </c>
      <c r="Y64" s="10">
        <f t="shared" si="33"/>
        <v>81434</v>
      </c>
      <c r="Z64" s="10">
        <f t="shared" si="33"/>
        <v>83360</v>
      </c>
      <c r="AA64" s="10">
        <f t="shared" si="33"/>
        <v>365817</v>
      </c>
      <c r="AB64" s="10">
        <f t="shared" si="33"/>
        <v>123945</v>
      </c>
      <c r="AC64" s="10">
        <f t="shared" si="33"/>
        <v>97278</v>
      </c>
      <c r="AD64" s="10">
        <f t="shared" si="33"/>
        <v>82959</v>
      </c>
      <c r="AF64" s="10">
        <f t="shared" si="33"/>
        <v>387542</v>
      </c>
      <c r="AG64" s="10">
        <f t="shared" si="33"/>
        <v>347155</v>
      </c>
    </row>
    <row r="66" spans="1:32" s="9" customFormat="1" x14ac:dyDescent="0.2">
      <c r="A66" s="9" t="s">
        <v>66</v>
      </c>
      <c r="C66" s="9">
        <v>78351</v>
      </c>
      <c r="D66" s="9">
        <v>52896</v>
      </c>
      <c r="E66" s="9">
        <v>45408</v>
      </c>
      <c r="F66" s="9">
        <v>52579</v>
      </c>
      <c r="G66" s="9">
        <v>229234</v>
      </c>
      <c r="H66" s="9">
        <v>88293</v>
      </c>
      <c r="I66" s="9">
        <v>61137</v>
      </c>
      <c r="J66" s="9">
        <v>53265</v>
      </c>
      <c r="K66" s="9">
        <v>62900</v>
      </c>
      <c r="L66" s="9">
        <v>265595</v>
      </c>
      <c r="M66" s="9">
        <v>84310</v>
      </c>
      <c r="N66" s="9">
        <v>58015</v>
      </c>
      <c r="O66" s="9">
        <v>53809</v>
      </c>
      <c r="P66" s="9">
        <v>64040</v>
      </c>
      <c r="Q66" s="9">
        <v>260174</v>
      </c>
      <c r="R66" s="9">
        <v>91819</v>
      </c>
      <c r="S66" s="9">
        <v>58313</v>
      </c>
      <c r="T66" s="9">
        <v>59685</v>
      </c>
      <c r="U66" s="9">
        <v>64698</v>
      </c>
      <c r="V66" s="9">
        <v>274515</v>
      </c>
      <c r="W66" s="9">
        <v>111439</v>
      </c>
      <c r="X66" s="9">
        <v>89584</v>
      </c>
      <c r="Y66" s="9">
        <v>81434</v>
      </c>
      <c r="Z66" s="9">
        <v>83360</v>
      </c>
      <c r="AA66" s="9">
        <v>365817</v>
      </c>
      <c r="AB66" s="9">
        <v>123945</v>
      </c>
      <c r="AC66" s="9">
        <v>97278</v>
      </c>
      <c r="AD66" s="9">
        <v>82959</v>
      </c>
      <c r="AF66" s="9">
        <f t="shared" ref="AF66" si="34">AD66+AC66+AB66+Z66</f>
        <v>387542</v>
      </c>
    </row>
    <row r="67" spans="1:32" x14ac:dyDescent="0.2">
      <c r="A67" s="5" t="s">
        <v>79</v>
      </c>
      <c r="C67">
        <v>48175</v>
      </c>
      <c r="D67">
        <v>32305</v>
      </c>
      <c r="E67">
        <v>27920</v>
      </c>
      <c r="F67">
        <v>32648</v>
      </c>
      <c r="G67">
        <v>141048</v>
      </c>
      <c r="H67">
        <v>54381</v>
      </c>
      <c r="I67">
        <v>37715</v>
      </c>
      <c r="J67">
        <v>32844</v>
      </c>
      <c r="K67">
        <v>38816</v>
      </c>
      <c r="L67">
        <v>163756</v>
      </c>
      <c r="M67">
        <v>52279</v>
      </c>
      <c r="N67">
        <v>36194</v>
      </c>
      <c r="O67">
        <v>33582</v>
      </c>
      <c r="P67">
        <v>39727</v>
      </c>
      <c r="Q67">
        <v>161782</v>
      </c>
      <c r="R67">
        <v>56602</v>
      </c>
      <c r="S67">
        <v>35943</v>
      </c>
      <c r="T67">
        <v>37005</v>
      </c>
      <c r="U67">
        <v>40009</v>
      </c>
      <c r="V67">
        <v>169559</v>
      </c>
      <c r="W67">
        <v>67111</v>
      </c>
      <c r="X67">
        <v>51505</v>
      </c>
      <c r="Y67">
        <v>46179</v>
      </c>
      <c r="Z67">
        <v>48186</v>
      </c>
      <c r="AA67">
        <v>212981</v>
      </c>
      <c r="AB67">
        <v>69702</v>
      </c>
      <c r="AC67">
        <v>54719</v>
      </c>
      <c r="AD67">
        <v>47074</v>
      </c>
      <c r="AF67">
        <f>AD67+AC67+AB67+Z67</f>
        <v>219681</v>
      </c>
    </row>
    <row r="68" spans="1:32" s="10" customFormat="1" x14ac:dyDescent="0.2">
      <c r="A68" s="10" t="s">
        <v>80</v>
      </c>
      <c r="C68" s="10">
        <f>C66-C67</f>
        <v>30176</v>
      </c>
      <c r="D68" s="10">
        <f t="shared" ref="D68:R68" si="35">D66-D67</f>
        <v>20591</v>
      </c>
      <c r="E68" s="10">
        <f>E66-E67</f>
        <v>17488</v>
      </c>
      <c r="F68" s="10">
        <f t="shared" si="35"/>
        <v>19931</v>
      </c>
      <c r="G68" s="10">
        <f t="shared" si="35"/>
        <v>88186</v>
      </c>
      <c r="H68" s="10">
        <f t="shared" si="35"/>
        <v>33912</v>
      </c>
      <c r="I68" s="10">
        <f t="shared" si="35"/>
        <v>23422</v>
      </c>
      <c r="J68" s="10">
        <f t="shared" si="35"/>
        <v>20421</v>
      </c>
      <c r="K68" s="10">
        <f t="shared" si="35"/>
        <v>24084</v>
      </c>
      <c r="L68" s="10">
        <f t="shared" si="35"/>
        <v>101839</v>
      </c>
      <c r="M68" s="10">
        <f t="shared" si="35"/>
        <v>32031</v>
      </c>
      <c r="N68" s="10">
        <f t="shared" si="35"/>
        <v>21821</v>
      </c>
      <c r="O68" s="10">
        <f t="shared" si="35"/>
        <v>20227</v>
      </c>
      <c r="P68" s="10">
        <f t="shared" si="35"/>
        <v>24313</v>
      </c>
      <c r="Q68" s="10">
        <f t="shared" si="35"/>
        <v>98392</v>
      </c>
      <c r="R68" s="10">
        <f t="shared" si="35"/>
        <v>35217</v>
      </c>
      <c r="S68" s="10">
        <f>S66-S67</f>
        <v>22370</v>
      </c>
      <c r="T68" s="10">
        <f t="shared" ref="T68:Z68" si="36">T66-T67</f>
        <v>22680</v>
      </c>
      <c r="U68" s="10">
        <f t="shared" si="36"/>
        <v>24689</v>
      </c>
      <c r="V68" s="10">
        <f t="shared" si="36"/>
        <v>104956</v>
      </c>
      <c r="W68" s="10">
        <f t="shared" si="36"/>
        <v>44328</v>
      </c>
      <c r="X68" s="10">
        <f t="shared" si="36"/>
        <v>38079</v>
      </c>
      <c r="Y68" s="10">
        <f t="shared" si="36"/>
        <v>35255</v>
      </c>
      <c r="Z68" s="10">
        <f t="shared" si="36"/>
        <v>35174</v>
      </c>
      <c r="AA68" s="10">
        <f>AA66-AA67</f>
        <v>152836</v>
      </c>
      <c r="AB68" s="10">
        <f t="shared" ref="AB68:AD68" si="37">AB66-AB67</f>
        <v>54243</v>
      </c>
      <c r="AC68" s="10">
        <f t="shared" si="37"/>
        <v>42559</v>
      </c>
      <c r="AD68" s="10">
        <f t="shared" si="37"/>
        <v>35885</v>
      </c>
      <c r="AF68" s="10">
        <f t="shared" ref="AF68" si="38">AF66-AF67</f>
        <v>167861</v>
      </c>
    </row>
    <row r="69" spans="1:32" x14ac:dyDescent="0.2">
      <c r="B69" s="11" t="s">
        <v>83</v>
      </c>
      <c r="C69">
        <v>6817</v>
      </c>
      <c r="D69">
        <v>6494</v>
      </c>
      <c r="E69">
        <v>6720</v>
      </c>
      <c r="F69">
        <v>6811</v>
      </c>
      <c r="G69">
        <v>26842</v>
      </c>
      <c r="H69">
        <v>7638</v>
      </c>
      <c r="I69">
        <v>7528</v>
      </c>
      <c r="J69">
        <v>7809</v>
      </c>
      <c r="K69">
        <v>7966</v>
      </c>
      <c r="L69">
        <v>30941</v>
      </c>
      <c r="M69">
        <v>8685</v>
      </c>
      <c r="N69">
        <v>8406</v>
      </c>
      <c r="O69">
        <v>8683</v>
      </c>
      <c r="P69">
        <v>8688</v>
      </c>
      <c r="Q69">
        <v>34462</v>
      </c>
      <c r="R69">
        <v>9648</v>
      </c>
      <c r="S69">
        <v>9517</v>
      </c>
      <c r="T69">
        <v>9589</v>
      </c>
      <c r="U69">
        <v>9914</v>
      </c>
      <c r="V69">
        <v>38668</v>
      </c>
      <c r="W69">
        <v>10794</v>
      </c>
      <c r="X69">
        <v>10576</v>
      </c>
      <c r="Y69">
        <v>11129</v>
      </c>
      <c r="Z69">
        <v>11388</v>
      </c>
      <c r="AA69">
        <v>43887</v>
      </c>
      <c r="AB69">
        <v>12755</v>
      </c>
      <c r="AC69">
        <v>12580</v>
      </c>
      <c r="AD69">
        <v>12809</v>
      </c>
      <c r="AF69">
        <f t="shared" ref="AF69" si="39">AD69+AC69+AB69+Z69</f>
        <v>49532</v>
      </c>
    </row>
    <row r="70" spans="1:32" x14ac:dyDescent="0.2">
      <c r="B70" t="s">
        <v>86</v>
      </c>
      <c r="C70">
        <v>2987</v>
      </c>
      <c r="D70">
        <v>2332</v>
      </c>
      <c r="E70">
        <v>2354</v>
      </c>
      <c r="F70">
        <v>2484</v>
      </c>
      <c r="G70">
        <v>10157</v>
      </c>
      <c r="H70">
        <v>2745</v>
      </c>
      <c r="I70">
        <v>2739</v>
      </c>
      <c r="J70">
        <v>2665</v>
      </c>
      <c r="K70">
        <v>2754</v>
      </c>
      <c r="L70">
        <v>10903</v>
      </c>
      <c r="M70">
        <v>3395</v>
      </c>
      <c r="N70">
        <v>3040</v>
      </c>
      <c r="O70">
        <v>2933</v>
      </c>
      <c r="P70">
        <v>3179</v>
      </c>
      <c r="Q70">
        <v>12547</v>
      </c>
      <c r="R70">
        <v>2816</v>
      </c>
      <c r="S70">
        <v>2786</v>
      </c>
      <c r="T70">
        <v>2752</v>
      </c>
      <c r="U70">
        <v>2702</v>
      </c>
      <c r="V70">
        <v>11056</v>
      </c>
      <c r="W70">
        <v>2666</v>
      </c>
      <c r="X70">
        <v>2797</v>
      </c>
      <c r="Y70">
        <v>2832</v>
      </c>
      <c r="Z70">
        <v>2989</v>
      </c>
      <c r="AA70">
        <v>11284</v>
      </c>
      <c r="AB70">
        <v>2697</v>
      </c>
      <c r="AC70">
        <v>2737</v>
      </c>
      <c r="AD70">
        <v>2805</v>
      </c>
      <c r="AF70">
        <f>AD70+AC70+AB70+Z70</f>
        <v>11228</v>
      </c>
    </row>
    <row r="71" spans="1:32" x14ac:dyDescent="0.2">
      <c r="B71" t="s">
        <v>183</v>
      </c>
      <c r="C71">
        <v>821</v>
      </c>
      <c r="D71">
        <v>587</v>
      </c>
      <c r="E71">
        <v>540</v>
      </c>
      <c r="F71">
        <v>797</v>
      </c>
      <c r="G71">
        <v>2745</v>
      </c>
      <c r="H71">
        <v>756</v>
      </c>
      <c r="I71">
        <v>274</v>
      </c>
      <c r="J71">
        <v>672</v>
      </c>
      <c r="K71">
        <v>303</v>
      </c>
      <c r="L71">
        <v>2005</v>
      </c>
      <c r="M71">
        <v>560</v>
      </c>
      <c r="N71">
        <v>378</v>
      </c>
      <c r="O71">
        <v>367</v>
      </c>
      <c r="P71">
        <v>502</v>
      </c>
      <c r="Q71">
        <v>1807</v>
      </c>
      <c r="R71">
        <v>349</v>
      </c>
      <c r="S71">
        <v>282</v>
      </c>
      <c r="T71">
        <v>46</v>
      </c>
      <c r="U71">
        <v>126</v>
      </c>
      <c r="V71">
        <v>803</v>
      </c>
      <c r="W71">
        <v>45</v>
      </c>
      <c r="X71">
        <v>508</v>
      </c>
      <c r="Y71">
        <v>243</v>
      </c>
      <c r="Z71">
        <v>-538</v>
      </c>
      <c r="AA71">
        <v>258</v>
      </c>
      <c r="AB71">
        <v>-247</v>
      </c>
      <c r="AC71">
        <v>160</v>
      </c>
      <c r="AD71">
        <v>-10</v>
      </c>
      <c r="AF71">
        <f>AD71+AC71+AB71+Z71</f>
        <v>-635</v>
      </c>
    </row>
    <row r="72" spans="1:32" s="34" customFormat="1" x14ac:dyDescent="0.2">
      <c r="A72" s="34" t="s">
        <v>84</v>
      </c>
      <c r="C72" s="34">
        <f>-C69+C70+C71</f>
        <v>-3009</v>
      </c>
      <c r="D72" s="34">
        <f t="shared" ref="D72:AC72" si="40">-D69+D70+D71</f>
        <v>-3575</v>
      </c>
      <c r="E72" s="34">
        <f>-E69+E70+E71</f>
        <v>-3826</v>
      </c>
      <c r="F72" s="34">
        <f t="shared" si="40"/>
        <v>-3530</v>
      </c>
      <c r="G72" s="34">
        <f t="shared" si="40"/>
        <v>-13940</v>
      </c>
      <c r="H72" s="34">
        <f t="shared" si="40"/>
        <v>-4137</v>
      </c>
      <c r="I72" s="34">
        <f t="shared" si="40"/>
        <v>-4515</v>
      </c>
      <c r="J72" s="34">
        <f t="shared" si="40"/>
        <v>-4472</v>
      </c>
      <c r="K72" s="34">
        <f t="shared" si="40"/>
        <v>-4909</v>
      </c>
      <c r="L72" s="34">
        <f t="shared" si="40"/>
        <v>-18033</v>
      </c>
      <c r="M72" s="34">
        <f t="shared" si="40"/>
        <v>-4730</v>
      </c>
      <c r="N72" s="34">
        <f t="shared" si="40"/>
        <v>-4988</v>
      </c>
      <c r="O72" s="34">
        <f t="shared" si="40"/>
        <v>-5383</v>
      </c>
      <c r="P72" s="34">
        <f t="shared" si="40"/>
        <v>-5007</v>
      </c>
      <c r="Q72" s="34">
        <f t="shared" si="40"/>
        <v>-20108</v>
      </c>
      <c r="R72" s="34">
        <f t="shared" si="40"/>
        <v>-6483</v>
      </c>
      <c r="S72" s="34">
        <f t="shared" si="40"/>
        <v>-6449</v>
      </c>
      <c r="T72" s="34">
        <f t="shared" si="40"/>
        <v>-6791</v>
      </c>
      <c r="U72" s="34">
        <f t="shared" si="40"/>
        <v>-7086</v>
      </c>
      <c r="V72" s="34">
        <f t="shared" si="40"/>
        <v>-26809</v>
      </c>
      <c r="W72" s="34">
        <f t="shared" si="40"/>
        <v>-8083</v>
      </c>
      <c r="X72" s="34">
        <f t="shared" si="40"/>
        <v>-7271</v>
      </c>
      <c r="Y72" s="34">
        <f t="shared" si="40"/>
        <v>-8054</v>
      </c>
      <c r="Z72" s="34">
        <f t="shared" si="40"/>
        <v>-8937</v>
      </c>
      <c r="AA72" s="34">
        <f t="shared" si="40"/>
        <v>-32345</v>
      </c>
      <c r="AB72" s="34">
        <f t="shared" si="40"/>
        <v>-10305</v>
      </c>
      <c r="AC72" s="34">
        <f t="shared" si="40"/>
        <v>-9683</v>
      </c>
      <c r="AD72" s="34">
        <f>-AD69+AD70+AD71</f>
        <v>-10014</v>
      </c>
      <c r="AF72">
        <f t="shared" ref="AF72:AF73" si="41">AD72+AC72+AB72+Z72</f>
        <v>-38939</v>
      </c>
    </row>
    <row r="73" spans="1:32" s="10" customFormat="1" x14ac:dyDescent="0.2">
      <c r="A73" s="10" t="s">
        <v>99</v>
      </c>
      <c r="C73" s="10">
        <f>C68+C72</f>
        <v>27167</v>
      </c>
      <c r="D73" s="10">
        <f>D68+D72</f>
        <v>17016</v>
      </c>
      <c r="E73" s="10">
        <f>E68+E72</f>
        <v>13662</v>
      </c>
      <c r="F73" s="10">
        <f>F68+F72</f>
        <v>16401</v>
      </c>
      <c r="G73" s="10">
        <f>G68+G72</f>
        <v>74246</v>
      </c>
      <c r="H73" s="10">
        <f>H68+H72</f>
        <v>29775</v>
      </c>
      <c r="I73" s="10">
        <f>I68+I72</f>
        <v>18907</v>
      </c>
      <c r="J73" s="10">
        <f>J68+J72</f>
        <v>15949</v>
      </c>
      <c r="K73" s="10">
        <f>K68+K72</f>
        <v>19175</v>
      </c>
      <c r="L73" s="10">
        <f>L68+L72</f>
        <v>83806</v>
      </c>
      <c r="M73" s="10">
        <f>M68+M72</f>
        <v>27301</v>
      </c>
      <c r="N73" s="10">
        <f>N68+N72</f>
        <v>16833</v>
      </c>
      <c r="O73" s="10">
        <f>O68+O72</f>
        <v>14844</v>
      </c>
      <c r="P73" s="10">
        <f>P68+P72</f>
        <v>19306</v>
      </c>
      <c r="Q73" s="10">
        <f>Q68+Q72</f>
        <v>78284</v>
      </c>
      <c r="R73" s="10">
        <f>R68+R72</f>
        <v>28734</v>
      </c>
      <c r="S73" s="10">
        <f>S68+S72</f>
        <v>15921</v>
      </c>
      <c r="T73" s="10">
        <f>T68+T72</f>
        <v>15889</v>
      </c>
      <c r="U73" s="10">
        <f>U68+U72</f>
        <v>17603</v>
      </c>
      <c r="V73" s="10">
        <f>V68+V72</f>
        <v>78147</v>
      </c>
      <c r="W73" s="10">
        <f>W68+W72</f>
        <v>36245</v>
      </c>
      <c r="X73" s="10">
        <f>X68+X72</f>
        <v>30808</v>
      </c>
      <c r="Y73" s="10">
        <f>Y68+Y72</f>
        <v>27201</v>
      </c>
      <c r="Z73" s="10">
        <f>Z68+Z72</f>
        <v>26237</v>
      </c>
      <c r="AA73" s="10">
        <f>AA68+AA72</f>
        <v>120491</v>
      </c>
      <c r="AB73" s="10">
        <f>AB68+AB72</f>
        <v>43938</v>
      </c>
      <c r="AC73" s="10">
        <f>AC68+AC72</f>
        <v>32876</v>
      </c>
      <c r="AD73" s="10">
        <f>AD68+AD72</f>
        <v>25871</v>
      </c>
      <c r="AF73">
        <f t="shared" si="41"/>
        <v>128922</v>
      </c>
    </row>
    <row r="74" spans="1:32" x14ac:dyDescent="0.2">
      <c r="A74" t="s">
        <v>86</v>
      </c>
      <c r="C74">
        <v>2987</v>
      </c>
      <c r="D74">
        <v>2332</v>
      </c>
      <c r="E74">
        <v>2354</v>
      </c>
      <c r="F74">
        <v>2484</v>
      </c>
      <c r="G74">
        <v>10157</v>
      </c>
      <c r="H74">
        <v>2745</v>
      </c>
      <c r="I74">
        <v>2739</v>
      </c>
      <c r="J74">
        <v>2665</v>
      </c>
      <c r="K74">
        <v>2754</v>
      </c>
      <c r="L74">
        <v>10903</v>
      </c>
      <c r="M74">
        <v>3395</v>
      </c>
      <c r="N74">
        <v>3040</v>
      </c>
      <c r="O74">
        <v>2933</v>
      </c>
      <c r="P74">
        <v>3179</v>
      </c>
      <c r="Q74">
        <v>12547</v>
      </c>
      <c r="R74">
        <v>2816</v>
      </c>
      <c r="S74">
        <v>2786</v>
      </c>
      <c r="T74">
        <v>2752</v>
      </c>
      <c r="U74">
        <v>2702</v>
      </c>
      <c r="V74">
        <v>11056</v>
      </c>
      <c r="W74">
        <v>2666</v>
      </c>
      <c r="X74">
        <v>2797</v>
      </c>
      <c r="Y74">
        <v>2832</v>
      </c>
      <c r="Z74">
        <v>2989</v>
      </c>
      <c r="AA74">
        <v>11284</v>
      </c>
      <c r="AB74">
        <v>2697</v>
      </c>
      <c r="AC74">
        <v>2737</v>
      </c>
      <c r="AD74">
        <v>2805</v>
      </c>
      <c r="AF74">
        <f>AD74+AC74+AB74+Z74</f>
        <v>11228</v>
      </c>
    </row>
    <row r="75" spans="1:32" x14ac:dyDescent="0.2">
      <c r="A75" s="11" t="s">
        <v>149</v>
      </c>
      <c r="C75">
        <v>6289</v>
      </c>
      <c r="D75">
        <v>3655</v>
      </c>
      <c r="E75">
        <v>2591</v>
      </c>
      <c r="F75">
        <v>3203</v>
      </c>
      <c r="G75">
        <v>15738</v>
      </c>
      <c r="H75">
        <v>6965</v>
      </c>
      <c r="I75">
        <v>2346</v>
      </c>
      <c r="J75">
        <v>1765</v>
      </c>
      <c r="K75">
        <v>2296</v>
      </c>
      <c r="L75">
        <v>13372</v>
      </c>
      <c r="M75">
        <v>3941</v>
      </c>
      <c r="N75">
        <v>2232</v>
      </c>
      <c r="O75">
        <v>1867</v>
      </c>
      <c r="P75">
        <v>2441</v>
      </c>
      <c r="Q75">
        <v>10481</v>
      </c>
      <c r="R75">
        <v>3682</v>
      </c>
      <c r="S75">
        <v>1886</v>
      </c>
      <c r="T75">
        <v>1884</v>
      </c>
      <c r="U75">
        <v>2228</v>
      </c>
      <c r="V75">
        <v>9680</v>
      </c>
      <c r="W75">
        <v>4824</v>
      </c>
      <c r="X75">
        <v>4381</v>
      </c>
      <c r="Y75">
        <v>2625</v>
      </c>
      <c r="Z75">
        <v>2697</v>
      </c>
      <c r="AA75">
        <v>14527</v>
      </c>
      <c r="AB75">
        <v>6611</v>
      </c>
      <c r="AC75">
        <v>5129</v>
      </c>
      <c r="AD75">
        <v>3624</v>
      </c>
      <c r="AF75">
        <f>AD75+AC75+AB75+Z75</f>
        <v>18061</v>
      </c>
    </row>
    <row r="76" spans="1:32" s="10" customFormat="1" x14ac:dyDescent="0.2">
      <c r="A76" s="85" t="s">
        <v>284</v>
      </c>
      <c r="C76" s="10">
        <f>C73-C74-C75</f>
        <v>17891</v>
      </c>
      <c r="D76" s="10">
        <f t="shared" ref="D76:AD76" si="42">D73-D74-D75</f>
        <v>11029</v>
      </c>
      <c r="E76" s="10">
        <f>E73-E74-E75</f>
        <v>8717</v>
      </c>
      <c r="F76" s="10">
        <f t="shared" si="42"/>
        <v>10714</v>
      </c>
      <c r="G76" s="10">
        <f t="shared" si="42"/>
        <v>48351</v>
      </c>
      <c r="H76" s="10">
        <f t="shared" si="42"/>
        <v>20065</v>
      </c>
      <c r="I76" s="10">
        <f t="shared" si="42"/>
        <v>13822</v>
      </c>
      <c r="J76" s="10">
        <f t="shared" si="42"/>
        <v>11519</v>
      </c>
      <c r="K76" s="10">
        <f t="shared" si="42"/>
        <v>14125</v>
      </c>
      <c r="L76" s="10">
        <f t="shared" si="42"/>
        <v>59531</v>
      </c>
      <c r="M76" s="10">
        <f t="shared" si="42"/>
        <v>19965</v>
      </c>
      <c r="N76" s="10">
        <f t="shared" si="42"/>
        <v>11561</v>
      </c>
      <c r="O76" s="10">
        <f t="shared" si="42"/>
        <v>10044</v>
      </c>
      <c r="P76" s="10">
        <f t="shared" si="42"/>
        <v>13686</v>
      </c>
      <c r="Q76" s="10">
        <f t="shared" si="42"/>
        <v>55256</v>
      </c>
      <c r="R76" s="10">
        <f t="shared" si="42"/>
        <v>22236</v>
      </c>
      <c r="S76" s="10">
        <f t="shared" si="42"/>
        <v>11249</v>
      </c>
      <c r="T76" s="10">
        <f t="shared" si="42"/>
        <v>11253</v>
      </c>
      <c r="U76" s="10">
        <f t="shared" si="42"/>
        <v>12673</v>
      </c>
      <c r="V76" s="10">
        <f t="shared" si="42"/>
        <v>57411</v>
      </c>
      <c r="W76" s="10">
        <f t="shared" si="42"/>
        <v>28755</v>
      </c>
      <c r="X76" s="10">
        <f t="shared" si="42"/>
        <v>23630</v>
      </c>
      <c r="Y76" s="10">
        <f t="shared" si="42"/>
        <v>21744</v>
      </c>
      <c r="Z76" s="10">
        <f t="shared" si="42"/>
        <v>20551</v>
      </c>
      <c r="AA76" s="10">
        <f t="shared" si="42"/>
        <v>94680</v>
      </c>
      <c r="AB76" s="10">
        <f t="shared" si="42"/>
        <v>34630</v>
      </c>
      <c r="AC76" s="10">
        <f t="shared" si="42"/>
        <v>25010</v>
      </c>
      <c r="AD76" s="10">
        <f t="shared" si="42"/>
        <v>19442</v>
      </c>
      <c r="AF76" s="10">
        <f t="shared" ref="AF76" si="43">AF73-AF74+AF75</f>
        <v>135755</v>
      </c>
    </row>
    <row r="77" spans="1:32" x14ac:dyDescent="0.2">
      <c r="A77" s="11"/>
    </row>
    <row r="78" spans="1:32" x14ac:dyDescent="0.2">
      <c r="A78" t="s">
        <v>110</v>
      </c>
      <c r="C78" s="35">
        <f>C68/C66</f>
        <v>0.38513867085295656</v>
      </c>
      <c r="D78" s="35">
        <f>D68/D66</f>
        <v>0.38927329098608593</v>
      </c>
      <c r="E78" s="35">
        <f>E68/E66</f>
        <v>0.38513037350246654</v>
      </c>
      <c r="F78" s="35">
        <f>F68/F66</f>
        <v>0.37906768862093232</v>
      </c>
      <c r="G78" s="35">
        <f>G68/G66</f>
        <v>0.38469860491899105</v>
      </c>
      <c r="H78" s="35">
        <f>H68/H66</f>
        <v>0.38408480853521798</v>
      </c>
      <c r="I78" s="35">
        <f>I68/I66</f>
        <v>0.38310679294044525</v>
      </c>
      <c r="J78" s="35">
        <f>J68/J66</f>
        <v>0.38338496198254013</v>
      </c>
      <c r="K78" s="35">
        <f>K68/K66</f>
        <v>0.38289348171701115</v>
      </c>
      <c r="L78" s="35">
        <f>L68/L66</f>
        <v>0.38343718820007905</v>
      </c>
      <c r="M78" s="35">
        <f>M68/M66</f>
        <v>0.37991934527339583</v>
      </c>
      <c r="N78" s="35">
        <f>N68/N66</f>
        <v>0.37612686374213566</v>
      </c>
      <c r="O78" s="35">
        <f>O68/O66</f>
        <v>0.37590365923916075</v>
      </c>
      <c r="P78" s="35">
        <f>P68/P66</f>
        <v>0.37965334166146159</v>
      </c>
      <c r="Q78" s="35">
        <f>Q68/Q66</f>
        <v>0.37817768109034722</v>
      </c>
      <c r="R78" s="35">
        <f>R68/R66</f>
        <v>0.38354806739345887</v>
      </c>
      <c r="S78" s="35">
        <f>S68/S66</f>
        <v>0.38361943305952362</v>
      </c>
      <c r="T78" s="35">
        <f>T68/T66</f>
        <v>0.37999497361146017</v>
      </c>
      <c r="U78" s="35">
        <f>U68/U66</f>
        <v>0.38160375900336951</v>
      </c>
      <c r="V78" s="35">
        <f>V68/V66</f>
        <v>0.38233247727810865</v>
      </c>
      <c r="W78" s="35">
        <f>W68/W66</f>
        <v>0.39777815665969724</v>
      </c>
      <c r="X78" s="35">
        <f>X68/X66</f>
        <v>0.42506474370423292</v>
      </c>
      <c r="Y78" s="35">
        <f>Y68/Y66</f>
        <v>0.43292727853230839</v>
      </c>
      <c r="Z78" s="35">
        <f>Z68/Z66</f>
        <v>0.42195297504798462</v>
      </c>
      <c r="AA78" s="35">
        <f>AA68/AA66</f>
        <v>0.41779359625167778</v>
      </c>
      <c r="AB78" s="35">
        <f>AB68/AB66</f>
        <v>0.43763766186615033</v>
      </c>
      <c r="AC78" s="35">
        <f>AC68/AC66</f>
        <v>0.43749871502292398</v>
      </c>
      <c r="AD78" s="35">
        <f>AD68/AD66</f>
        <v>0.43256307332537758</v>
      </c>
      <c r="AE78" s="35"/>
      <c r="AF78" s="35">
        <f>AF68/AF66</f>
        <v>0.43314273033632483</v>
      </c>
    </row>
    <row r="79" spans="1:32" x14ac:dyDescent="0.2">
      <c r="A79" t="s">
        <v>111</v>
      </c>
      <c r="C79" s="35">
        <f>C73/C66</f>
        <v>0.34673456624676136</v>
      </c>
      <c r="D79" s="35">
        <f>D73/D66</f>
        <v>0.32168784029038111</v>
      </c>
      <c r="E79" s="35">
        <f>E73/E66</f>
        <v>0.30087209302325579</v>
      </c>
      <c r="F79" s="35">
        <f>F73/F66</f>
        <v>0.31193061868806937</v>
      </c>
      <c r="G79" s="35">
        <f>G73/G66</f>
        <v>0.3238873814530131</v>
      </c>
      <c r="H79" s="35">
        <f>H73/H66</f>
        <v>0.33722945193843229</v>
      </c>
      <c r="I79" s="35">
        <f>I73/I66</f>
        <v>0.30925626052963018</v>
      </c>
      <c r="J79" s="35">
        <f>J73/J66</f>
        <v>0.299427391345161</v>
      </c>
      <c r="K79" s="35">
        <f>K73/K66</f>
        <v>0.3048489666136725</v>
      </c>
      <c r="L79" s="35">
        <f>L73/L66</f>
        <v>0.31554057870065327</v>
      </c>
      <c r="M79" s="35">
        <f>M73/M66</f>
        <v>0.32381686632665163</v>
      </c>
      <c r="N79" s="35">
        <f>N73/N66</f>
        <v>0.29014909937085237</v>
      </c>
      <c r="O79" s="35">
        <f>O73/O66</f>
        <v>0.27586463231058</v>
      </c>
      <c r="P79" s="35">
        <f>P73/P66</f>
        <v>0.30146783260462212</v>
      </c>
      <c r="Q79" s="35">
        <f>Q73/Q66</f>
        <v>0.3008909422155942</v>
      </c>
      <c r="R79" s="35">
        <f>R73/R66</f>
        <v>0.31294176586545269</v>
      </c>
      <c r="S79" s="35">
        <f>S73/S66</f>
        <v>0.27302659784267658</v>
      </c>
      <c r="T79" s="35">
        <f>T73/T66</f>
        <v>0.26621429169808158</v>
      </c>
      <c r="U79" s="35">
        <f>U73/U66</f>
        <v>0.27207950786732205</v>
      </c>
      <c r="V79" s="35">
        <f>V73/V66</f>
        <v>0.28467296869023551</v>
      </c>
      <c r="W79" s="35">
        <f>W73/W66</f>
        <v>0.32524520141063723</v>
      </c>
      <c r="X79" s="35">
        <f>X73/X66</f>
        <v>0.34390069655295591</v>
      </c>
      <c r="Y79" s="35">
        <f>Y73/Y66</f>
        <v>0.33402510008104724</v>
      </c>
      <c r="Z79" s="35">
        <f>Z73/Z66</f>
        <v>0.31474328214971209</v>
      </c>
      <c r="AA79" s="35">
        <f>AA73/AA66</f>
        <v>0.32937507004868555</v>
      </c>
      <c r="AB79" s="35">
        <f>AB73/AB66</f>
        <v>0.35449594578240351</v>
      </c>
      <c r="AC79" s="35">
        <f>AC73/AC66</f>
        <v>0.33795925080696559</v>
      </c>
      <c r="AD79" s="35">
        <f>AD73/AD66</f>
        <v>0.31185284297062404</v>
      </c>
      <c r="AE79" s="35"/>
      <c r="AF79" s="35">
        <f>AF73/AF66</f>
        <v>0.33266587879507253</v>
      </c>
    </row>
    <row r="80" spans="1:32" x14ac:dyDescent="0.2"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</row>
    <row r="81" spans="1:32" x14ac:dyDescent="0.2"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</row>
    <row r="82" spans="1:32" x14ac:dyDescent="0.2">
      <c r="A82" t="s">
        <v>279</v>
      </c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</row>
    <row r="83" spans="1:32" s="9" customFormat="1" x14ac:dyDescent="0.2">
      <c r="B83" s="11" t="s">
        <v>284</v>
      </c>
      <c r="C83" s="9">
        <f>C95-SUM(C92:C94)-C84</f>
        <v>17891</v>
      </c>
      <c r="D83" s="9">
        <f>D95-SUM(D92:D94)-D84</f>
        <v>11029</v>
      </c>
      <c r="E83" s="9">
        <f>E95-SUM(E92:E94)-E84</f>
        <v>8717</v>
      </c>
      <c r="F83" s="9">
        <f t="shared" ref="F83:AD83" si="44">F95-SUM(F92:F94)-F84</f>
        <v>10714</v>
      </c>
      <c r="G83" s="9">
        <f t="shared" si="44"/>
        <v>48351</v>
      </c>
      <c r="H83" s="9">
        <f t="shared" si="44"/>
        <v>20065</v>
      </c>
      <c r="I83" s="9">
        <f t="shared" si="44"/>
        <v>13822</v>
      </c>
      <c r="J83" s="9">
        <f t="shared" si="44"/>
        <v>11519</v>
      </c>
      <c r="K83" s="9">
        <f t="shared" si="44"/>
        <v>14125</v>
      </c>
      <c r="L83" s="9">
        <f t="shared" si="44"/>
        <v>59531</v>
      </c>
      <c r="M83" s="9">
        <f t="shared" si="44"/>
        <v>19965</v>
      </c>
      <c r="N83" s="9">
        <f t="shared" si="44"/>
        <v>11561</v>
      </c>
      <c r="O83" s="9">
        <f t="shared" si="44"/>
        <v>10044</v>
      </c>
      <c r="P83" s="9">
        <f t="shared" si="44"/>
        <v>13686</v>
      </c>
      <c r="Q83" s="9">
        <f t="shared" si="44"/>
        <v>55256</v>
      </c>
      <c r="R83" s="9">
        <f t="shared" si="44"/>
        <v>22236</v>
      </c>
      <c r="S83" s="9">
        <f t="shared" si="44"/>
        <v>11249</v>
      </c>
      <c r="T83" s="9">
        <f t="shared" si="44"/>
        <v>11253</v>
      </c>
      <c r="U83" s="9">
        <f t="shared" si="44"/>
        <v>12673</v>
      </c>
      <c r="V83" s="9">
        <f t="shared" si="44"/>
        <v>57411</v>
      </c>
      <c r="W83" s="9">
        <f t="shared" si="44"/>
        <v>28755</v>
      </c>
      <c r="X83" s="9">
        <f t="shared" si="44"/>
        <v>23630</v>
      </c>
      <c r="Y83" s="9">
        <f t="shared" si="44"/>
        <v>21744</v>
      </c>
      <c r="Z83" s="9">
        <f t="shared" si="44"/>
        <v>20551</v>
      </c>
      <c r="AA83" s="9">
        <f t="shared" si="44"/>
        <v>94680</v>
      </c>
      <c r="AB83" s="9">
        <f t="shared" si="44"/>
        <v>34630</v>
      </c>
      <c r="AC83" s="9">
        <f t="shared" si="44"/>
        <v>25010</v>
      </c>
      <c r="AD83" s="9">
        <f t="shared" si="44"/>
        <v>19442</v>
      </c>
    </row>
    <row r="84" spans="1:32" x14ac:dyDescent="0.2">
      <c r="B84" t="s">
        <v>86</v>
      </c>
      <c r="C84">
        <v>2987</v>
      </c>
      <c r="D84">
        <v>2332</v>
      </c>
      <c r="E84">
        <v>2354</v>
      </c>
      <c r="F84">
        <v>2484</v>
      </c>
      <c r="G84">
        <v>10157</v>
      </c>
      <c r="H84">
        <v>2745</v>
      </c>
      <c r="I84">
        <v>2739</v>
      </c>
      <c r="J84">
        <v>2665</v>
      </c>
      <c r="K84">
        <v>2754</v>
      </c>
      <c r="L84">
        <v>10903</v>
      </c>
      <c r="M84">
        <v>3395</v>
      </c>
      <c r="N84">
        <v>3040</v>
      </c>
      <c r="O84">
        <v>2933</v>
      </c>
      <c r="P84">
        <v>3179</v>
      </c>
      <c r="Q84">
        <v>12547</v>
      </c>
      <c r="R84">
        <v>2816</v>
      </c>
      <c r="S84">
        <v>2786</v>
      </c>
      <c r="T84">
        <v>2752</v>
      </c>
      <c r="U84">
        <v>2702</v>
      </c>
      <c r="V84">
        <v>11056</v>
      </c>
      <c r="W84">
        <v>2666</v>
      </c>
      <c r="X84">
        <v>2797</v>
      </c>
      <c r="Y84">
        <v>2832</v>
      </c>
      <c r="Z84">
        <v>2989</v>
      </c>
      <c r="AA84">
        <v>11284</v>
      </c>
      <c r="AB84">
        <v>2697</v>
      </c>
      <c r="AC84">
        <v>2737</v>
      </c>
      <c r="AD84">
        <v>2805</v>
      </c>
    </row>
    <row r="85" spans="1:32" s="10" customFormat="1" x14ac:dyDescent="0.2">
      <c r="B85" s="12" t="s">
        <v>15</v>
      </c>
      <c r="C85" s="12">
        <v>1946</v>
      </c>
      <c r="D85" s="12">
        <v>-1630</v>
      </c>
      <c r="E85" s="12">
        <v>-2792</v>
      </c>
      <c r="F85" s="12">
        <v>2322</v>
      </c>
      <c r="G85" s="12">
        <v>-154</v>
      </c>
      <c r="H85" s="12">
        <v>37549</v>
      </c>
      <c r="I85" s="12">
        <v>1609</v>
      </c>
      <c r="J85" s="12">
        <v>-2149</v>
      </c>
      <c r="K85" s="12">
        <v>1481</v>
      </c>
      <c r="L85" s="12">
        <v>38490</v>
      </c>
      <c r="M85" s="12">
        <v>570</v>
      </c>
      <c r="N85" s="12">
        <v>-3843</v>
      </c>
      <c r="O85" s="12">
        <v>-5480</v>
      </c>
      <c r="P85" s="12">
        <v>4053</v>
      </c>
      <c r="Q85" s="12">
        <v>-4700</v>
      </c>
      <c r="R85" s="12">
        <v>5514</v>
      </c>
      <c r="S85" s="12">
        <v>1986</v>
      </c>
      <c r="T85" s="12">
        <v>-3633</v>
      </c>
      <c r="U85" s="12">
        <v>5049</v>
      </c>
      <c r="V85" s="12">
        <v>8916</v>
      </c>
      <c r="W85" s="12">
        <v>7959</v>
      </c>
      <c r="X85" s="12">
        <v>-4914</v>
      </c>
      <c r="Y85" s="12">
        <v>-2582</v>
      </c>
      <c r="Z85" s="12">
        <v>5336</v>
      </c>
      <c r="AA85" s="12">
        <v>5799</v>
      </c>
      <c r="AB85" s="12">
        <v>4236</v>
      </c>
      <c r="AC85" s="12">
        <v>-2348</v>
      </c>
      <c r="AD85" s="12">
        <v>-1902</v>
      </c>
      <c r="AE85" s="12"/>
    </row>
    <row r="86" spans="1:32" x14ac:dyDescent="0.2">
      <c r="B86" s="1" t="s">
        <v>9</v>
      </c>
      <c r="C86" s="1">
        <v>1697</v>
      </c>
      <c r="D86" s="1">
        <v>2486</v>
      </c>
      <c r="E86" s="1">
        <v>-802</v>
      </c>
      <c r="F86" s="1">
        <v>-5474</v>
      </c>
      <c r="G86" s="1">
        <v>-2093</v>
      </c>
      <c r="H86" s="1">
        <v>-5570</v>
      </c>
      <c r="I86" s="1">
        <v>9093</v>
      </c>
      <c r="J86" s="1">
        <v>233</v>
      </c>
      <c r="K86" s="1">
        <v>-9078</v>
      </c>
      <c r="L86" s="1">
        <v>-5322</v>
      </c>
      <c r="M86" s="1">
        <v>5130</v>
      </c>
      <c r="N86" s="1">
        <v>2964</v>
      </c>
      <c r="O86" s="1">
        <v>919</v>
      </c>
      <c r="P86" s="1">
        <v>-8768</v>
      </c>
      <c r="Q86" s="1">
        <v>245</v>
      </c>
      <c r="R86" s="1">
        <v>2015</v>
      </c>
      <c r="S86" s="1">
        <v>5269</v>
      </c>
      <c r="T86" s="1">
        <v>-2135</v>
      </c>
      <c r="U86" s="1">
        <v>1768</v>
      </c>
      <c r="V86" s="1">
        <v>6917</v>
      </c>
      <c r="W86" s="1">
        <v>-10945</v>
      </c>
      <c r="X86" s="1">
        <v>8598</v>
      </c>
      <c r="Y86" s="1">
        <v>1031</v>
      </c>
      <c r="Z86" s="1">
        <v>-8809</v>
      </c>
      <c r="AA86" s="1">
        <v>-10125</v>
      </c>
      <c r="AB86" s="1">
        <v>-3934</v>
      </c>
      <c r="AC86" s="1">
        <v>9476</v>
      </c>
      <c r="AD86" s="1">
        <v>-981</v>
      </c>
      <c r="AE86" s="1"/>
    </row>
    <row r="87" spans="1:32" x14ac:dyDescent="0.2">
      <c r="B87" s="1" t="s">
        <v>11</v>
      </c>
      <c r="C87" s="1">
        <v>-375</v>
      </c>
      <c r="D87" s="1">
        <v>4887</v>
      </c>
      <c r="E87" s="1">
        <v>-1200</v>
      </c>
      <c r="F87" s="1">
        <v>-7566</v>
      </c>
      <c r="G87" s="1">
        <v>-4254</v>
      </c>
      <c r="H87" s="1">
        <v>-9660</v>
      </c>
      <c r="I87" s="1">
        <v>19375</v>
      </c>
      <c r="J87" s="1">
        <v>-4179</v>
      </c>
      <c r="K87" s="1">
        <v>-13546</v>
      </c>
      <c r="L87" s="1">
        <v>-8010</v>
      </c>
      <c r="M87" s="1">
        <v>6905</v>
      </c>
      <c r="N87" s="1">
        <v>7711</v>
      </c>
      <c r="O87" s="1">
        <v>-1133</v>
      </c>
      <c r="P87" s="1">
        <v>-10552</v>
      </c>
      <c r="Q87" s="1">
        <v>2931</v>
      </c>
      <c r="R87" s="1">
        <v>3902</v>
      </c>
      <c r="S87" s="1">
        <v>4021</v>
      </c>
      <c r="T87" s="1">
        <v>762</v>
      </c>
      <c r="U87" s="1">
        <v>-7132</v>
      </c>
      <c r="V87" s="1">
        <v>1553</v>
      </c>
      <c r="W87" s="1">
        <v>-10194</v>
      </c>
      <c r="X87" s="1">
        <v>16986</v>
      </c>
      <c r="Y87" s="1">
        <v>-1900</v>
      </c>
      <c r="Z87" s="1">
        <v>-8795</v>
      </c>
      <c r="AA87" s="1">
        <v>-3903</v>
      </c>
      <c r="AB87" s="1">
        <v>-9812</v>
      </c>
      <c r="AC87" s="1">
        <v>10455</v>
      </c>
      <c r="AD87" s="1">
        <v>4146</v>
      </c>
      <c r="AE87" s="1"/>
    </row>
    <row r="88" spans="1:32" x14ac:dyDescent="0.2">
      <c r="B88" s="1" t="s">
        <v>10</v>
      </c>
      <c r="C88" s="1">
        <v>-580</v>
      </c>
      <c r="D88" s="1">
        <v>-198</v>
      </c>
      <c r="E88" s="1">
        <v>-236</v>
      </c>
      <c r="F88" s="1">
        <v>-1709</v>
      </c>
      <c r="G88" s="1">
        <v>-2723</v>
      </c>
      <c r="H88" s="1">
        <v>434</v>
      </c>
      <c r="I88" s="1">
        <v>-3241</v>
      </c>
      <c r="J88" s="1">
        <v>1693</v>
      </c>
      <c r="K88" s="1">
        <v>1942</v>
      </c>
      <c r="L88" s="1">
        <v>828</v>
      </c>
      <c r="M88" s="1">
        <v>-1076</v>
      </c>
      <c r="N88" s="1">
        <v>70</v>
      </c>
      <c r="O88" s="1">
        <v>1502</v>
      </c>
      <c r="P88" s="1">
        <v>-785</v>
      </c>
      <c r="Q88" s="1">
        <v>-289</v>
      </c>
      <c r="R88" s="1">
        <v>-28</v>
      </c>
      <c r="S88" s="1">
        <v>727</v>
      </c>
      <c r="T88" s="1">
        <v>-689</v>
      </c>
      <c r="U88" s="1">
        <v>-137</v>
      </c>
      <c r="V88" s="1">
        <v>-127</v>
      </c>
      <c r="W88" s="1">
        <v>-950</v>
      </c>
      <c r="X88" s="1">
        <v>-276</v>
      </c>
      <c r="Y88" s="1">
        <v>13</v>
      </c>
      <c r="Z88" s="1">
        <v>-1429</v>
      </c>
      <c r="AA88" s="1">
        <v>-2642</v>
      </c>
      <c r="AB88" s="1">
        <v>681</v>
      </c>
      <c r="AC88" s="1">
        <v>384</v>
      </c>
      <c r="AD88" s="1">
        <v>-16</v>
      </c>
      <c r="AE88" s="1"/>
    </row>
    <row r="89" spans="1:32" x14ac:dyDescent="0.2">
      <c r="B89" s="1" t="s">
        <v>13</v>
      </c>
      <c r="C89" s="1">
        <v>2460</v>
      </c>
      <c r="D89" s="1">
        <v>-9322</v>
      </c>
      <c r="E89" s="1">
        <v>1650</v>
      </c>
      <c r="F89" s="1">
        <v>14830</v>
      </c>
      <c r="G89" s="1">
        <v>9618</v>
      </c>
      <c r="H89" s="1">
        <v>14588</v>
      </c>
      <c r="I89" s="1">
        <v>-27808</v>
      </c>
      <c r="J89" s="1">
        <v>2081</v>
      </c>
      <c r="K89" s="1">
        <v>20314</v>
      </c>
      <c r="L89" s="1">
        <v>9175</v>
      </c>
      <c r="M89" s="1">
        <v>-8501</v>
      </c>
      <c r="N89" s="1">
        <v>-11523</v>
      </c>
      <c r="O89" s="1">
        <v>220</v>
      </c>
      <c r="P89" s="1">
        <v>17881</v>
      </c>
      <c r="Q89" s="1">
        <v>-1923</v>
      </c>
      <c r="R89" s="1">
        <v>-1089</v>
      </c>
      <c r="S89" s="1">
        <v>-12431</v>
      </c>
      <c r="T89" s="1">
        <v>2733</v>
      </c>
      <c r="U89" s="1">
        <v>6725</v>
      </c>
      <c r="V89" s="1">
        <v>-4062</v>
      </c>
      <c r="W89" s="1">
        <v>21670</v>
      </c>
      <c r="X89" s="1">
        <v>-23667</v>
      </c>
      <c r="Y89" s="1">
        <v>211</v>
      </c>
      <c r="Z89" s="1">
        <v>14112</v>
      </c>
      <c r="AA89" s="1">
        <v>12326</v>
      </c>
      <c r="AB89" s="1">
        <v>19813</v>
      </c>
      <c r="AC89" s="1">
        <v>-21563</v>
      </c>
      <c r="AD89" s="1">
        <v>-4358</v>
      </c>
      <c r="AE89" s="1"/>
    </row>
    <row r="90" spans="1:32" ht="15" customHeight="1" x14ac:dyDescent="0.2">
      <c r="B90" s="1" t="s">
        <v>5</v>
      </c>
      <c r="C90" s="1">
        <v>1256</v>
      </c>
      <c r="D90" s="1">
        <v>1217</v>
      </c>
      <c r="E90" s="1">
        <v>1193</v>
      </c>
      <c r="F90" s="1">
        <v>1174</v>
      </c>
      <c r="G90" s="1">
        <v>4840</v>
      </c>
      <c r="H90" s="1">
        <v>1296</v>
      </c>
      <c r="I90" s="1">
        <v>1348</v>
      </c>
      <c r="J90" s="1">
        <v>1351</v>
      </c>
      <c r="K90" s="1">
        <v>1345</v>
      </c>
      <c r="L90" s="1">
        <v>5340</v>
      </c>
      <c r="M90" s="1">
        <v>1559</v>
      </c>
      <c r="N90" s="1">
        <v>1514</v>
      </c>
      <c r="O90" s="1">
        <v>1496</v>
      </c>
      <c r="P90" s="1">
        <v>1499</v>
      </c>
      <c r="Q90" s="1">
        <v>6068</v>
      </c>
      <c r="R90" s="1">
        <v>1710</v>
      </c>
      <c r="S90" s="1">
        <v>1697</v>
      </c>
      <c r="T90" s="1">
        <v>1698</v>
      </c>
      <c r="U90" s="1">
        <v>1724</v>
      </c>
      <c r="V90" s="1">
        <v>6829</v>
      </c>
      <c r="W90" s="1">
        <v>2020</v>
      </c>
      <c r="X90" s="1">
        <v>1981</v>
      </c>
      <c r="Y90" s="1">
        <v>1960</v>
      </c>
      <c r="Z90" s="1">
        <v>1945</v>
      </c>
      <c r="AA90" s="1">
        <v>7906</v>
      </c>
      <c r="AB90" s="1">
        <v>2265</v>
      </c>
      <c r="AC90" s="1">
        <v>2252</v>
      </c>
      <c r="AD90" s="1">
        <v>2243</v>
      </c>
      <c r="AE90" s="1"/>
    </row>
    <row r="91" spans="1:32" x14ac:dyDescent="0.2">
      <c r="B91" s="1" t="s">
        <v>14</v>
      </c>
      <c r="C91" s="1">
        <v>42</v>
      </c>
      <c r="D91" s="1">
        <v>-263</v>
      </c>
      <c r="E91" s="1">
        <v>-197</v>
      </c>
      <c r="F91" s="1">
        <v>-208</v>
      </c>
      <c r="G91" s="1">
        <v>-626</v>
      </c>
      <c r="H91" s="1">
        <v>791</v>
      </c>
      <c r="I91" s="1">
        <v>-313</v>
      </c>
      <c r="J91" s="1">
        <v>-581</v>
      </c>
      <c r="K91" s="1">
        <v>59</v>
      </c>
      <c r="L91" s="1">
        <v>-44</v>
      </c>
      <c r="M91" s="1">
        <v>-370</v>
      </c>
      <c r="N91" s="1">
        <v>-170</v>
      </c>
      <c r="O91" s="1">
        <v>-236</v>
      </c>
      <c r="P91" s="1">
        <v>151</v>
      </c>
      <c r="Q91" s="1">
        <v>-625</v>
      </c>
      <c r="R91" s="1">
        <v>985</v>
      </c>
      <c r="S91" s="1">
        <v>238</v>
      </c>
      <c r="T91" s="1">
        <v>426</v>
      </c>
      <c r="U91" s="1">
        <v>432</v>
      </c>
      <c r="V91" s="1">
        <v>2081</v>
      </c>
      <c r="W91" s="1">
        <v>1341</v>
      </c>
      <c r="X91" s="1">
        <v>301</v>
      </c>
      <c r="Y91" s="1">
        <v>96</v>
      </c>
      <c r="Z91" s="1">
        <v>-62</v>
      </c>
      <c r="AA91" s="1">
        <v>1676</v>
      </c>
      <c r="AB91" s="1">
        <v>462</v>
      </c>
      <c r="AC91" s="1">
        <v>165</v>
      </c>
      <c r="AD91" s="1">
        <v>-367</v>
      </c>
      <c r="AE91" s="1"/>
    </row>
    <row r="92" spans="1:32" s="10" customFormat="1" x14ac:dyDescent="0.2">
      <c r="B92" s="12" t="s">
        <v>87</v>
      </c>
      <c r="C92" s="12">
        <f>SUM(C85:C91)</f>
        <v>6446</v>
      </c>
      <c r="D92" s="12">
        <f t="shared" ref="D92:G92" si="45">SUM(D85:D91)</f>
        <v>-2823</v>
      </c>
      <c r="E92" s="12">
        <f>SUM(E85:E91)</f>
        <v>-2384</v>
      </c>
      <c r="F92" s="12">
        <f t="shared" si="45"/>
        <v>3369</v>
      </c>
      <c r="G92" s="12">
        <f t="shared" si="45"/>
        <v>4608</v>
      </c>
      <c r="H92" s="12">
        <f t="shared" ref="H92" si="46">SUM(H85:H91)</f>
        <v>39428</v>
      </c>
      <c r="I92" s="12">
        <f t="shared" ref="I92" si="47">SUM(I85:I91)</f>
        <v>63</v>
      </c>
      <c r="J92" s="12">
        <f t="shared" ref="J92:K92" si="48">SUM(J85:J91)</f>
        <v>-1551</v>
      </c>
      <c r="K92" s="12">
        <f t="shared" si="48"/>
        <v>2517</v>
      </c>
      <c r="L92" s="12">
        <f t="shared" ref="L92" si="49">SUM(L85:L91)</f>
        <v>40457</v>
      </c>
      <c r="M92" s="12">
        <f t="shared" ref="M92" si="50">SUM(M85:M91)</f>
        <v>4217</v>
      </c>
      <c r="N92" s="12">
        <f t="shared" ref="N92:O92" si="51">SUM(N85:N91)</f>
        <v>-3277</v>
      </c>
      <c r="O92" s="12">
        <f t="shared" si="51"/>
        <v>-2712</v>
      </c>
      <c r="P92" s="12">
        <f t="shared" ref="P92" si="52">SUM(P85:P91)</f>
        <v>3479</v>
      </c>
      <c r="Q92" s="12">
        <f t="shared" ref="Q92" si="53">SUM(Q85:Q91)</f>
        <v>1707</v>
      </c>
      <c r="R92" s="12">
        <f t="shared" ref="R92:S92" si="54">SUM(R85:R91)</f>
        <v>13009</v>
      </c>
      <c r="S92" s="12">
        <f t="shared" si="54"/>
        <v>1507</v>
      </c>
      <c r="T92" s="12">
        <f t="shared" ref="T92" si="55">SUM(T85:T91)</f>
        <v>-838</v>
      </c>
      <c r="U92" s="12">
        <f t="shared" ref="U92" si="56">SUM(U85:U91)</f>
        <v>8429</v>
      </c>
      <c r="V92" s="12">
        <f t="shared" ref="V92:W92" si="57">SUM(V85:V91)</f>
        <v>22107</v>
      </c>
      <c r="W92" s="12">
        <f t="shared" si="57"/>
        <v>10901</v>
      </c>
      <c r="X92" s="12">
        <f t="shared" ref="X92" si="58">SUM(X85:X91)</f>
        <v>-991</v>
      </c>
      <c r="Y92" s="12">
        <f t="shared" ref="Y92" si="59">SUM(Y85:Y91)</f>
        <v>-1171</v>
      </c>
      <c r="Z92" s="12">
        <f t="shared" ref="Z92:AA92" si="60">SUM(Z85:Z91)</f>
        <v>2298</v>
      </c>
      <c r="AA92" s="12">
        <f t="shared" si="60"/>
        <v>11037</v>
      </c>
      <c r="AB92" s="12">
        <f t="shared" ref="AB92" si="61">SUM(AB85:AB91)</f>
        <v>13711</v>
      </c>
      <c r="AC92" s="12">
        <f t="shared" ref="AC92" si="62">SUM(AC85:AC91)</f>
        <v>-1179</v>
      </c>
      <c r="AD92" s="12">
        <f t="shared" ref="AD92" si="63">SUM(AD85:AD91)</f>
        <v>-1235</v>
      </c>
      <c r="AE92" s="12"/>
    </row>
    <row r="93" spans="1:32" s="9" customFormat="1" x14ac:dyDescent="0.2">
      <c r="B93" s="13" t="s">
        <v>95</v>
      </c>
      <c r="C93" s="13">
        <v>1452</v>
      </c>
      <c r="D93" s="13">
        <v>1370</v>
      </c>
      <c r="E93" s="13">
        <v>1942</v>
      </c>
      <c r="F93" s="13">
        <v>1202</v>
      </c>
      <c r="G93" s="13">
        <v>5966</v>
      </c>
      <c r="H93" s="13">
        <v>-33737</v>
      </c>
      <c r="I93" s="13">
        <v>-498</v>
      </c>
      <c r="J93" s="13">
        <v>1126</v>
      </c>
      <c r="K93" s="13">
        <v>519</v>
      </c>
      <c r="L93" s="13">
        <v>-32590</v>
      </c>
      <c r="M93" s="13">
        <v>53</v>
      </c>
      <c r="N93" s="13">
        <v>-177</v>
      </c>
      <c r="O93" s="13">
        <v>86</v>
      </c>
      <c r="P93" s="13">
        <v>-302</v>
      </c>
      <c r="Q93" s="13">
        <v>-340</v>
      </c>
      <c r="R93" s="13">
        <v>-349</v>
      </c>
      <c r="S93" s="13">
        <v>-302</v>
      </c>
      <c r="T93" s="13">
        <v>833</v>
      </c>
      <c r="U93" s="13">
        <v>-397</v>
      </c>
      <c r="V93" s="13">
        <v>-215</v>
      </c>
      <c r="W93" s="13">
        <v>-58</v>
      </c>
      <c r="X93" s="13">
        <v>-149</v>
      </c>
      <c r="Y93" s="13">
        <v>-530</v>
      </c>
      <c r="Z93" s="13">
        <v>-4037</v>
      </c>
      <c r="AA93" s="13">
        <v>-4774</v>
      </c>
      <c r="AB93" s="13">
        <v>682</v>
      </c>
      <c r="AC93" s="13">
        <v>406</v>
      </c>
      <c r="AD93" s="13">
        <v>1668</v>
      </c>
      <c r="AE93" s="13"/>
      <c r="AF93"/>
    </row>
    <row r="94" spans="1:32" s="10" customFormat="1" x14ac:dyDescent="0.2">
      <c r="A94" s="9"/>
      <c r="B94" s="13" t="s">
        <v>100</v>
      </c>
      <c r="C94" s="13">
        <v>-1720</v>
      </c>
      <c r="D94" s="13">
        <v>615</v>
      </c>
      <c r="E94" s="13">
        <v>-2266</v>
      </c>
      <c r="F94" s="13">
        <v>-2113</v>
      </c>
      <c r="G94" s="13">
        <v>-5484</v>
      </c>
      <c r="H94" s="13">
        <v>-208</v>
      </c>
      <c r="I94" s="13">
        <v>-996</v>
      </c>
      <c r="J94" s="13">
        <v>729</v>
      </c>
      <c r="K94" s="13">
        <v>-392</v>
      </c>
      <c r="L94" s="13">
        <v>-867</v>
      </c>
      <c r="M94" s="13">
        <v>-940</v>
      </c>
      <c r="N94" s="13">
        <v>8</v>
      </c>
      <c r="O94" s="13">
        <v>1285</v>
      </c>
      <c r="P94" s="13">
        <v>-132</v>
      </c>
      <c r="Q94" s="13">
        <v>221</v>
      </c>
      <c r="R94" s="13">
        <v>-7196</v>
      </c>
      <c r="S94" s="13">
        <v>-1929</v>
      </c>
      <c r="T94" s="13">
        <v>2271</v>
      </c>
      <c r="U94" s="13">
        <v>-2831</v>
      </c>
      <c r="V94" s="13">
        <v>-9685</v>
      </c>
      <c r="W94" s="13">
        <v>-3501</v>
      </c>
      <c r="X94" s="13">
        <v>-1306</v>
      </c>
      <c r="Y94" s="13">
        <v>-1781</v>
      </c>
      <c r="Z94" s="13">
        <v>-1601</v>
      </c>
      <c r="AA94" s="13">
        <v>-8189</v>
      </c>
      <c r="AB94" s="13">
        <v>-4754</v>
      </c>
      <c r="AC94" s="13">
        <v>1192</v>
      </c>
      <c r="AD94" s="13">
        <v>212</v>
      </c>
      <c r="AE94" s="12"/>
    </row>
    <row r="95" spans="1:32" s="9" customFormat="1" x14ac:dyDescent="0.2">
      <c r="A95" s="10"/>
      <c r="B95" s="12" t="s">
        <v>279</v>
      </c>
      <c r="C95" s="12">
        <f>C110-C109-C102</f>
        <v>27056</v>
      </c>
      <c r="D95" s="12">
        <f t="shared" ref="D95:AD95" si="64">D110-D109-D102</f>
        <v>12523</v>
      </c>
      <c r="E95" s="12">
        <f>E110-E109-E102</f>
        <v>8363</v>
      </c>
      <c r="F95" s="12">
        <f t="shared" si="64"/>
        <v>15656</v>
      </c>
      <c r="G95" s="12">
        <f t="shared" si="64"/>
        <v>63598</v>
      </c>
      <c r="H95" s="12">
        <f t="shared" si="64"/>
        <v>28293</v>
      </c>
      <c r="I95" s="12">
        <f t="shared" si="64"/>
        <v>15130</v>
      </c>
      <c r="J95" s="12">
        <f t="shared" si="64"/>
        <v>14488</v>
      </c>
      <c r="K95" s="12">
        <f t="shared" si="64"/>
        <v>19523</v>
      </c>
      <c r="L95" s="12">
        <f t="shared" si="64"/>
        <v>77434</v>
      </c>
      <c r="M95" s="12">
        <f t="shared" si="64"/>
        <v>26690</v>
      </c>
      <c r="N95" s="12">
        <f t="shared" si="64"/>
        <v>11155</v>
      </c>
      <c r="O95" s="12">
        <f t="shared" si="64"/>
        <v>11636</v>
      </c>
      <c r="P95" s="12">
        <f t="shared" si="64"/>
        <v>19910</v>
      </c>
      <c r="Q95" s="12">
        <f t="shared" si="64"/>
        <v>69391</v>
      </c>
      <c r="R95" s="12">
        <f t="shared" si="64"/>
        <v>30516</v>
      </c>
      <c r="S95" s="12">
        <f t="shared" si="64"/>
        <v>13311</v>
      </c>
      <c r="T95" s="12">
        <f t="shared" si="64"/>
        <v>16271</v>
      </c>
      <c r="U95" s="12">
        <f t="shared" si="64"/>
        <v>20576</v>
      </c>
      <c r="V95" s="12">
        <f t="shared" si="64"/>
        <v>80674</v>
      </c>
      <c r="W95" s="12">
        <f t="shared" si="64"/>
        <v>38763</v>
      </c>
      <c r="X95" s="12">
        <f t="shared" si="64"/>
        <v>23981</v>
      </c>
      <c r="Y95" s="12">
        <f t="shared" si="64"/>
        <v>21094</v>
      </c>
      <c r="Z95" s="12">
        <f t="shared" si="64"/>
        <v>20200</v>
      </c>
      <c r="AA95" s="12">
        <f t="shared" si="64"/>
        <v>104038</v>
      </c>
      <c r="AB95" s="12">
        <f t="shared" si="64"/>
        <v>46966</v>
      </c>
      <c r="AC95" s="12">
        <f t="shared" si="64"/>
        <v>28166</v>
      </c>
      <c r="AD95" s="12">
        <f t="shared" si="64"/>
        <v>22892</v>
      </c>
      <c r="AE95" s="13"/>
    </row>
    <row r="96" spans="1:32" s="9" customFormat="1" x14ac:dyDescent="0.2">
      <c r="A96" s="9" t="s">
        <v>285</v>
      </c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F96"/>
    </row>
    <row r="97" spans="1:32" x14ac:dyDescent="0.2">
      <c r="A97" s="9"/>
      <c r="B97" s="9" t="s">
        <v>88</v>
      </c>
      <c r="C97" s="9">
        <v>-3334</v>
      </c>
      <c r="D97" s="9">
        <v>-2975</v>
      </c>
      <c r="E97" s="9">
        <v>-2277</v>
      </c>
      <c r="F97" s="9">
        <v>-3865</v>
      </c>
      <c r="G97" s="9">
        <v>-12451</v>
      </c>
      <c r="H97" s="9">
        <v>-2810</v>
      </c>
      <c r="I97" s="9">
        <v>-4195</v>
      </c>
      <c r="J97" s="9">
        <v>-3267</v>
      </c>
      <c r="K97" s="9">
        <v>-3041</v>
      </c>
      <c r="L97" s="9">
        <v>-13313</v>
      </c>
      <c r="M97" s="9">
        <v>-3355</v>
      </c>
      <c r="N97" s="9">
        <v>-2363</v>
      </c>
      <c r="O97" s="9">
        <v>-2000</v>
      </c>
      <c r="P97" s="9">
        <v>-2777</v>
      </c>
      <c r="Q97" s="9">
        <v>-10495</v>
      </c>
      <c r="R97" s="9">
        <v>-2107</v>
      </c>
      <c r="S97" s="9">
        <v>-1853</v>
      </c>
      <c r="T97" s="9">
        <v>-1565</v>
      </c>
      <c r="U97" s="9">
        <v>-1784</v>
      </c>
      <c r="V97" s="9">
        <v>-7309</v>
      </c>
      <c r="W97" s="9">
        <v>-3500</v>
      </c>
      <c r="X97" s="9">
        <v>-2269</v>
      </c>
      <c r="Y97" s="9">
        <v>-2093</v>
      </c>
      <c r="Z97" s="9">
        <v>-3223</v>
      </c>
      <c r="AA97" s="9">
        <v>-11085</v>
      </c>
      <c r="AB97" s="9">
        <v>-2803</v>
      </c>
      <c r="AC97" s="9">
        <v>-2514</v>
      </c>
      <c r="AD97" s="9">
        <v>-2102</v>
      </c>
    </row>
    <row r="98" spans="1:32" x14ac:dyDescent="0.2">
      <c r="B98" t="s">
        <v>101</v>
      </c>
      <c r="C98">
        <v>-103</v>
      </c>
      <c r="D98">
        <v>-90</v>
      </c>
      <c r="E98">
        <v>-351</v>
      </c>
      <c r="F98">
        <v>-524</v>
      </c>
      <c r="G98">
        <v>-1068</v>
      </c>
      <c r="H98">
        <v>-421</v>
      </c>
      <c r="I98">
        <v>116</v>
      </c>
      <c r="J98">
        <v>-126</v>
      </c>
      <c r="K98">
        <v>-290</v>
      </c>
      <c r="L98">
        <v>-721</v>
      </c>
      <c r="M98">
        <v>-167</v>
      </c>
      <c r="N98">
        <v>-124</v>
      </c>
      <c r="O98">
        <v>-320</v>
      </c>
      <c r="P98">
        <v>-13</v>
      </c>
      <c r="Q98">
        <v>-624</v>
      </c>
      <c r="R98">
        <v>-958</v>
      </c>
      <c r="S98">
        <v>-176</v>
      </c>
      <c r="T98">
        <v>-339</v>
      </c>
      <c r="U98">
        <v>-51</v>
      </c>
      <c r="V98">
        <v>-1524</v>
      </c>
      <c r="W98">
        <v>-9</v>
      </c>
      <c r="X98">
        <v>0</v>
      </c>
      <c r="Y98">
        <v>-4</v>
      </c>
      <c r="Z98">
        <v>-20</v>
      </c>
      <c r="AA98">
        <v>-33</v>
      </c>
      <c r="AB98">
        <v>0</v>
      </c>
      <c r="AC98">
        <v>-167</v>
      </c>
      <c r="AD98">
        <v>-2</v>
      </c>
    </row>
    <row r="99" spans="1:32" x14ac:dyDescent="0.2">
      <c r="B99" t="s">
        <v>280</v>
      </c>
      <c r="C99">
        <v>-15581</v>
      </c>
      <c r="D99">
        <v>-11357</v>
      </c>
      <c r="E99">
        <v>-749</v>
      </c>
      <c r="F99">
        <v>-5460</v>
      </c>
      <c r="G99">
        <v>-33147</v>
      </c>
      <c r="H99">
        <v>-10423</v>
      </c>
      <c r="I99">
        <v>32800</v>
      </c>
      <c r="J99">
        <v>9394</v>
      </c>
      <c r="K99">
        <v>592</v>
      </c>
      <c r="L99">
        <v>32363</v>
      </c>
      <c r="M99">
        <v>9849</v>
      </c>
      <c r="N99">
        <v>15812</v>
      </c>
      <c r="O99">
        <v>28736</v>
      </c>
      <c r="P99">
        <v>3063</v>
      </c>
      <c r="Q99">
        <v>57460</v>
      </c>
      <c r="R99">
        <v>-10396</v>
      </c>
      <c r="S99">
        <v>11407</v>
      </c>
      <c r="T99">
        <v>-2992</v>
      </c>
      <c r="U99">
        <v>7434</v>
      </c>
      <c r="V99">
        <v>5453</v>
      </c>
      <c r="W99">
        <v>-5279</v>
      </c>
      <c r="X99">
        <v>-7895</v>
      </c>
      <c r="Y99">
        <v>5747</v>
      </c>
      <c r="Z99">
        <v>4352</v>
      </c>
      <c r="AA99">
        <v>-3075</v>
      </c>
      <c r="AB99">
        <v>-12929</v>
      </c>
      <c r="AC99">
        <v>-6390</v>
      </c>
      <c r="AD99">
        <v>6953</v>
      </c>
    </row>
    <row r="100" spans="1:32" s="9" customFormat="1" x14ac:dyDescent="0.2">
      <c r="A100"/>
      <c r="B100" t="s">
        <v>281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-1478</v>
      </c>
      <c r="K100">
        <v>-40</v>
      </c>
      <c r="L100">
        <v>-1518</v>
      </c>
      <c r="M100">
        <v>-427</v>
      </c>
      <c r="N100">
        <v>-63</v>
      </c>
      <c r="O100">
        <v>1384</v>
      </c>
      <c r="P100">
        <v>-261</v>
      </c>
      <c r="Q100">
        <v>633</v>
      </c>
      <c r="R100">
        <v>-77</v>
      </c>
      <c r="S100">
        <v>-69</v>
      </c>
      <c r="T100">
        <v>-6</v>
      </c>
      <c r="U100">
        <v>34</v>
      </c>
      <c r="V100">
        <v>-118</v>
      </c>
      <c r="W100">
        <v>0</v>
      </c>
      <c r="X100">
        <v>0</v>
      </c>
      <c r="Y100">
        <v>0</v>
      </c>
      <c r="Z100">
        <v>256</v>
      </c>
      <c r="AA100">
        <v>256</v>
      </c>
      <c r="AB100">
        <v>0</v>
      </c>
      <c r="AC100">
        <v>0</v>
      </c>
      <c r="AD100">
        <v>0</v>
      </c>
      <c r="AF100"/>
    </row>
    <row r="101" spans="1:32" s="9" customFormat="1" x14ac:dyDescent="0.2">
      <c r="B101" s="9" t="s">
        <v>102</v>
      </c>
      <c r="C101" s="9">
        <v>-104</v>
      </c>
      <c r="D101" s="9">
        <v>220</v>
      </c>
      <c r="E101" s="9">
        <v>197</v>
      </c>
      <c r="F101" s="9">
        <v>-93</v>
      </c>
      <c r="G101" s="9">
        <v>220</v>
      </c>
      <c r="H101" s="9">
        <v>64</v>
      </c>
      <c r="I101" s="9">
        <v>-11</v>
      </c>
      <c r="J101" s="9">
        <v>-576</v>
      </c>
      <c r="K101" s="9">
        <v>-222</v>
      </c>
      <c r="L101" s="9">
        <v>-745</v>
      </c>
      <c r="M101" s="9">
        <v>-56</v>
      </c>
      <c r="N101" s="9">
        <v>86</v>
      </c>
      <c r="O101" s="9">
        <v>-298</v>
      </c>
      <c r="P101" s="9">
        <v>-810</v>
      </c>
      <c r="Q101" s="9">
        <v>-1078</v>
      </c>
      <c r="R101" s="9">
        <v>-130</v>
      </c>
      <c r="S101" s="9">
        <v>-296</v>
      </c>
      <c r="T101" s="9">
        <v>-263</v>
      </c>
      <c r="U101" s="9">
        <v>-102</v>
      </c>
      <c r="V101" s="9">
        <v>-791</v>
      </c>
      <c r="W101" s="9">
        <v>204</v>
      </c>
      <c r="X101" s="9">
        <v>-204</v>
      </c>
      <c r="Y101" s="9">
        <v>-78</v>
      </c>
      <c r="Z101" s="9">
        <v>-530</v>
      </c>
      <c r="AA101" s="9">
        <v>-608</v>
      </c>
      <c r="AB101" s="9">
        <v>-374</v>
      </c>
      <c r="AC101" s="9">
        <v>-194</v>
      </c>
      <c r="AD101" s="9">
        <v>-615</v>
      </c>
      <c r="AF101"/>
    </row>
    <row r="102" spans="1:32" s="10" customFormat="1" x14ac:dyDescent="0.2">
      <c r="A102" s="9"/>
      <c r="B102" s="11" t="s">
        <v>285</v>
      </c>
      <c r="C102" s="9">
        <f>SUM(C97:C101)</f>
        <v>-19122</v>
      </c>
      <c r="D102" s="9">
        <f t="shared" ref="D102:AD102" si="65">SUM(D97:D101)</f>
        <v>-14202</v>
      </c>
      <c r="E102" s="9">
        <f>SUM(E97:E101)</f>
        <v>-3180</v>
      </c>
      <c r="F102" s="9">
        <f t="shared" si="65"/>
        <v>-9942</v>
      </c>
      <c r="G102" s="9">
        <f t="shared" si="65"/>
        <v>-46446</v>
      </c>
      <c r="H102" s="9">
        <f t="shared" si="65"/>
        <v>-13590</v>
      </c>
      <c r="I102" s="9">
        <f t="shared" si="65"/>
        <v>28710</v>
      </c>
      <c r="J102" s="9">
        <f t="shared" si="65"/>
        <v>3947</v>
      </c>
      <c r="K102" s="9">
        <f t="shared" si="65"/>
        <v>-3001</v>
      </c>
      <c r="L102" s="9">
        <f t="shared" si="65"/>
        <v>16066</v>
      </c>
      <c r="M102" s="9">
        <f t="shared" si="65"/>
        <v>5844</v>
      </c>
      <c r="N102" s="9">
        <f t="shared" si="65"/>
        <v>13348</v>
      </c>
      <c r="O102" s="9">
        <f t="shared" si="65"/>
        <v>27502</v>
      </c>
      <c r="P102" s="9">
        <f t="shared" si="65"/>
        <v>-798</v>
      </c>
      <c r="Q102" s="9">
        <f t="shared" si="65"/>
        <v>45896</v>
      </c>
      <c r="R102" s="9">
        <f t="shared" si="65"/>
        <v>-13668</v>
      </c>
      <c r="S102" s="9">
        <f t="shared" si="65"/>
        <v>9013</v>
      </c>
      <c r="T102" s="9">
        <f t="shared" si="65"/>
        <v>-5165</v>
      </c>
      <c r="U102" s="9">
        <f t="shared" si="65"/>
        <v>5531</v>
      </c>
      <c r="V102" s="9">
        <f t="shared" si="65"/>
        <v>-4289</v>
      </c>
      <c r="W102" s="9">
        <f t="shared" si="65"/>
        <v>-8584</v>
      </c>
      <c r="X102" s="9">
        <f t="shared" si="65"/>
        <v>-10368</v>
      </c>
      <c r="Y102" s="9">
        <f t="shared" si="65"/>
        <v>3572</v>
      </c>
      <c r="Z102" s="9">
        <f t="shared" si="65"/>
        <v>835</v>
      </c>
      <c r="AA102" s="9">
        <f t="shared" si="65"/>
        <v>-14545</v>
      </c>
      <c r="AB102" s="9">
        <f t="shared" si="65"/>
        <v>-16106</v>
      </c>
      <c r="AC102" s="9">
        <f t="shared" si="65"/>
        <v>-9265</v>
      </c>
      <c r="AD102" s="9">
        <f t="shared" si="65"/>
        <v>4234</v>
      </c>
    </row>
    <row r="103" spans="1:32" s="9" customFormat="1" x14ac:dyDescent="0.2">
      <c r="A103" s="10" t="s">
        <v>90</v>
      </c>
      <c r="B103" s="85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</row>
    <row r="104" spans="1:32" s="9" customFormat="1" x14ac:dyDescent="0.2">
      <c r="B104" s="9" t="s">
        <v>98</v>
      </c>
      <c r="C104" s="9">
        <v>2385</v>
      </c>
      <c r="D104" s="9">
        <v>-506</v>
      </c>
      <c r="E104" s="9">
        <v>1987</v>
      </c>
      <c r="F104" s="9">
        <v>-14</v>
      </c>
      <c r="G104" s="9">
        <v>3852</v>
      </c>
      <c r="H104" s="9">
        <v>2</v>
      </c>
      <c r="I104" s="9">
        <v>-1</v>
      </c>
      <c r="J104" s="9">
        <v>-11</v>
      </c>
      <c r="K104" s="9">
        <v>-27</v>
      </c>
      <c r="L104" s="9">
        <v>-37</v>
      </c>
      <c r="M104" s="9">
        <v>6</v>
      </c>
      <c r="N104" s="9">
        <v>-6</v>
      </c>
      <c r="O104" s="9">
        <v>-2026</v>
      </c>
      <c r="P104" s="9">
        <v>-3951</v>
      </c>
      <c r="Q104" s="9">
        <v>-5977</v>
      </c>
      <c r="R104" s="9">
        <v>-979</v>
      </c>
      <c r="S104" s="9">
        <v>2497</v>
      </c>
      <c r="T104" s="9">
        <v>-1487</v>
      </c>
      <c r="U104" s="9">
        <v>-994</v>
      </c>
      <c r="V104" s="9">
        <v>-963</v>
      </c>
      <c r="W104" s="9">
        <v>22</v>
      </c>
      <c r="X104" s="9">
        <v>0</v>
      </c>
      <c r="Y104" s="9">
        <v>3000</v>
      </c>
      <c r="Z104" s="9">
        <v>-2000</v>
      </c>
      <c r="AA104" s="9">
        <v>1022</v>
      </c>
      <c r="AB104" s="9">
        <v>-1000</v>
      </c>
      <c r="AC104" s="9">
        <v>1999</v>
      </c>
      <c r="AD104" s="9">
        <v>3971</v>
      </c>
    </row>
    <row r="105" spans="1:32" x14ac:dyDescent="0.2">
      <c r="A105" s="9"/>
      <c r="B105" s="9" t="s">
        <v>283</v>
      </c>
      <c r="C105" s="9">
        <v>0</v>
      </c>
      <c r="D105" s="9">
        <v>10975</v>
      </c>
      <c r="E105" s="9">
        <v>7250</v>
      </c>
      <c r="F105" s="9">
        <v>6937</v>
      </c>
      <c r="G105" s="9">
        <v>25162</v>
      </c>
      <c r="H105" s="9">
        <v>6969</v>
      </c>
      <c r="I105" s="9">
        <v>-500</v>
      </c>
      <c r="J105" s="9">
        <v>-6000</v>
      </c>
      <c r="K105" s="9">
        <v>0</v>
      </c>
      <c r="L105" s="9">
        <v>469</v>
      </c>
      <c r="M105" s="9">
        <v>0</v>
      </c>
      <c r="N105" s="9">
        <v>-2500</v>
      </c>
      <c r="O105" s="9">
        <v>-3000</v>
      </c>
      <c r="P105" s="9">
        <v>3658</v>
      </c>
      <c r="Q105" s="9">
        <v>-1842</v>
      </c>
      <c r="R105" s="9">
        <v>1210</v>
      </c>
      <c r="S105" s="9">
        <v>-4250</v>
      </c>
      <c r="T105" s="9">
        <v>1046</v>
      </c>
      <c r="U105" s="9">
        <v>5456</v>
      </c>
      <c r="V105" s="9">
        <v>3462</v>
      </c>
      <c r="W105" s="9">
        <v>-1000</v>
      </c>
      <c r="X105" s="9">
        <v>10423</v>
      </c>
      <c r="Y105" s="9">
        <v>-3000</v>
      </c>
      <c r="Z105" s="9">
        <v>5220</v>
      </c>
      <c r="AA105" s="9">
        <v>11643</v>
      </c>
      <c r="AB105" s="9">
        <v>0</v>
      </c>
      <c r="AC105" s="9">
        <v>-3750</v>
      </c>
      <c r="AD105" s="9">
        <v>-3000</v>
      </c>
    </row>
    <row r="106" spans="1:32" x14ac:dyDescent="0.2">
      <c r="B106" t="s">
        <v>91</v>
      </c>
      <c r="C106">
        <v>-3130</v>
      </c>
      <c r="D106">
        <v>-3004</v>
      </c>
      <c r="E106">
        <v>-3365</v>
      </c>
      <c r="F106">
        <v>-3270</v>
      </c>
      <c r="G106">
        <v>-12769</v>
      </c>
      <c r="H106">
        <v>-3339</v>
      </c>
      <c r="I106">
        <v>-3190</v>
      </c>
      <c r="J106">
        <v>-3653</v>
      </c>
      <c r="K106">
        <v>-3530</v>
      </c>
      <c r="L106">
        <v>-13712</v>
      </c>
      <c r="M106">
        <v>-3568</v>
      </c>
      <c r="N106">
        <v>-3443</v>
      </c>
      <c r="O106">
        <v>-3629</v>
      </c>
      <c r="P106">
        <v>-3479</v>
      </c>
      <c r="Q106">
        <v>-14119</v>
      </c>
      <c r="R106">
        <v>-3539</v>
      </c>
      <c r="S106">
        <v>-3375</v>
      </c>
      <c r="T106">
        <v>-3656</v>
      </c>
      <c r="U106">
        <v>-3511</v>
      </c>
      <c r="V106">
        <v>-14081</v>
      </c>
      <c r="W106">
        <v>-3613</v>
      </c>
      <c r="X106">
        <v>-3447</v>
      </c>
      <c r="Y106">
        <v>-3767</v>
      </c>
      <c r="Z106">
        <v>-3640</v>
      </c>
      <c r="AA106">
        <v>-14467</v>
      </c>
      <c r="AB106">
        <v>-3732</v>
      </c>
      <c r="AC106">
        <v>-3595</v>
      </c>
      <c r="AD106">
        <v>-3811</v>
      </c>
    </row>
    <row r="107" spans="1:32" s="9" customFormat="1" x14ac:dyDescent="0.2">
      <c r="A107"/>
      <c r="B107" t="s">
        <v>92</v>
      </c>
      <c r="C107">
        <v>-11302</v>
      </c>
      <c r="D107">
        <v>-7000</v>
      </c>
      <c r="E107">
        <v>-7641</v>
      </c>
      <c r="F107">
        <v>-7649</v>
      </c>
      <c r="G107">
        <v>-33592</v>
      </c>
      <c r="H107">
        <v>-11133</v>
      </c>
      <c r="I107">
        <v>-22581</v>
      </c>
      <c r="J107">
        <v>-21859</v>
      </c>
      <c r="K107">
        <v>-19023</v>
      </c>
      <c r="L107">
        <v>-74596</v>
      </c>
      <c r="M107">
        <v>-10114</v>
      </c>
      <c r="N107">
        <v>-23421</v>
      </c>
      <c r="O107">
        <v>-18153</v>
      </c>
      <c r="P107">
        <v>-17245</v>
      </c>
      <c r="Q107">
        <v>-68933</v>
      </c>
      <c r="R107">
        <v>-22083</v>
      </c>
      <c r="S107">
        <v>-15777</v>
      </c>
      <c r="T107">
        <v>-14950</v>
      </c>
      <c r="U107">
        <v>-22302</v>
      </c>
      <c r="V107">
        <v>-75112</v>
      </c>
      <c r="W107">
        <v>-27636</v>
      </c>
      <c r="X107">
        <v>-18286</v>
      </c>
      <c r="Y107">
        <v>-25595</v>
      </c>
      <c r="Z107">
        <v>-19905</v>
      </c>
      <c r="AA107">
        <v>-91422</v>
      </c>
      <c r="AB107">
        <v>-23366</v>
      </c>
      <c r="AC107">
        <v>-22961</v>
      </c>
      <c r="AD107">
        <v>-24562</v>
      </c>
      <c r="AF107"/>
    </row>
    <row r="108" spans="1:32" s="9" customFormat="1" x14ac:dyDescent="0.2">
      <c r="B108" s="9" t="s">
        <v>114</v>
      </c>
      <c r="C108" s="9">
        <v>0</v>
      </c>
      <c r="D108" s="9">
        <v>0</v>
      </c>
      <c r="E108" s="9">
        <v>0</v>
      </c>
      <c r="F108" s="9">
        <v>0</v>
      </c>
      <c r="G108" s="9">
        <v>0</v>
      </c>
      <c r="H108" s="9">
        <v>0</v>
      </c>
      <c r="I108" s="9">
        <v>0</v>
      </c>
      <c r="J108" s="9">
        <v>0</v>
      </c>
      <c r="K108" s="9">
        <v>0</v>
      </c>
      <c r="L108" s="9">
        <v>0</v>
      </c>
      <c r="M108" s="9">
        <v>0</v>
      </c>
      <c r="N108" s="9">
        <v>-87</v>
      </c>
      <c r="O108" s="9">
        <v>4</v>
      </c>
      <c r="P108" s="9">
        <v>-22</v>
      </c>
      <c r="Q108" s="9">
        <v>-105</v>
      </c>
      <c r="R108" s="9">
        <v>-16</v>
      </c>
      <c r="S108" s="9">
        <v>-35</v>
      </c>
      <c r="T108" s="9">
        <v>-69</v>
      </c>
      <c r="U108" s="9">
        <v>-6</v>
      </c>
      <c r="V108" s="9">
        <v>-126</v>
      </c>
      <c r="W108" s="9">
        <v>-22</v>
      </c>
      <c r="X108" s="9">
        <v>-16</v>
      </c>
      <c r="Y108" s="9">
        <v>-34</v>
      </c>
      <c r="Z108" s="9">
        <v>-57</v>
      </c>
      <c r="AA108" s="9">
        <v>-129</v>
      </c>
      <c r="AB108" s="9">
        <v>-61</v>
      </c>
      <c r="AC108" s="9">
        <v>-44</v>
      </c>
      <c r="AD108" s="9">
        <v>-43</v>
      </c>
      <c r="AF108"/>
    </row>
    <row r="109" spans="1:32" s="10" customFormat="1" x14ac:dyDescent="0.2">
      <c r="A109" s="9"/>
      <c r="B109" s="11" t="s">
        <v>90</v>
      </c>
      <c r="C109" s="9">
        <f>SUM(C104:C108)</f>
        <v>-12047</v>
      </c>
      <c r="D109" s="9">
        <f t="shared" ref="D109:AD109" si="66">SUM(D104:D108)</f>
        <v>465</v>
      </c>
      <c r="E109" s="9">
        <f>SUM(E104:E108)</f>
        <v>-1769</v>
      </c>
      <c r="F109" s="9">
        <f t="shared" si="66"/>
        <v>-3996</v>
      </c>
      <c r="G109" s="9">
        <f t="shared" si="66"/>
        <v>-17347</v>
      </c>
      <c r="H109" s="9">
        <f t="shared" si="66"/>
        <v>-7501</v>
      </c>
      <c r="I109" s="9">
        <f t="shared" si="66"/>
        <v>-26272</v>
      </c>
      <c r="J109" s="9">
        <f t="shared" si="66"/>
        <v>-31523</v>
      </c>
      <c r="K109" s="9">
        <f t="shared" si="66"/>
        <v>-22580</v>
      </c>
      <c r="L109" s="9">
        <f t="shared" si="66"/>
        <v>-87876</v>
      </c>
      <c r="M109" s="9">
        <f t="shared" si="66"/>
        <v>-13676</v>
      </c>
      <c r="N109" s="9">
        <f t="shared" si="66"/>
        <v>-29457</v>
      </c>
      <c r="O109" s="9">
        <f t="shared" si="66"/>
        <v>-26804</v>
      </c>
      <c r="P109" s="9">
        <f t="shared" si="66"/>
        <v>-21039</v>
      </c>
      <c r="Q109" s="9">
        <f t="shared" si="66"/>
        <v>-90976</v>
      </c>
      <c r="R109" s="9">
        <f t="shared" si="66"/>
        <v>-25407</v>
      </c>
      <c r="S109" s="9">
        <f t="shared" si="66"/>
        <v>-20940</v>
      </c>
      <c r="T109" s="9">
        <f t="shared" si="66"/>
        <v>-19116</v>
      </c>
      <c r="U109" s="9">
        <f t="shared" si="66"/>
        <v>-21357</v>
      </c>
      <c r="V109" s="9">
        <f t="shared" si="66"/>
        <v>-86820</v>
      </c>
      <c r="W109" s="9">
        <f t="shared" si="66"/>
        <v>-32249</v>
      </c>
      <c r="X109" s="9">
        <f t="shared" si="66"/>
        <v>-11326</v>
      </c>
      <c r="Y109" s="9">
        <f t="shared" si="66"/>
        <v>-29396</v>
      </c>
      <c r="Z109" s="9">
        <f t="shared" si="66"/>
        <v>-20382</v>
      </c>
      <c r="AA109" s="9">
        <f t="shared" si="66"/>
        <v>-93353</v>
      </c>
      <c r="AB109" s="9">
        <f t="shared" si="66"/>
        <v>-28159</v>
      </c>
      <c r="AC109" s="9">
        <f t="shared" si="66"/>
        <v>-28351</v>
      </c>
      <c r="AD109" s="9">
        <f t="shared" si="66"/>
        <v>-27445</v>
      </c>
    </row>
    <row r="110" spans="1:32" s="9" customFormat="1" x14ac:dyDescent="0.2">
      <c r="A110" s="10"/>
      <c r="B110" s="10" t="s">
        <v>151</v>
      </c>
      <c r="C110" s="10">
        <v>-4113</v>
      </c>
      <c r="D110" s="10">
        <v>-1214</v>
      </c>
      <c r="E110" s="10">
        <v>3414</v>
      </c>
      <c r="F110" s="10">
        <v>1718</v>
      </c>
      <c r="G110" s="10">
        <v>-195</v>
      </c>
      <c r="H110" s="10">
        <v>7202</v>
      </c>
      <c r="I110" s="10">
        <v>17568</v>
      </c>
      <c r="J110" s="10">
        <v>-13088</v>
      </c>
      <c r="K110" s="10">
        <v>-6058</v>
      </c>
      <c r="L110" s="10">
        <v>5624</v>
      </c>
      <c r="M110" s="10">
        <v>18858</v>
      </c>
      <c r="N110" s="10">
        <v>-4954</v>
      </c>
      <c r="O110" s="10">
        <v>12334</v>
      </c>
      <c r="P110" s="10">
        <v>-1927</v>
      </c>
      <c r="Q110" s="10">
        <v>24311</v>
      </c>
      <c r="R110" s="10">
        <v>-8559</v>
      </c>
      <c r="S110" s="10">
        <v>1384</v>
      </c>
      <c r="T110" s="10">
        <v>-8010</v>
      </c>
      <c r="U110" s="10">
        <v>4750</v>
      </c>
      <c r="V110" s="10">
        <v>-10435</v>
      </c>
      <c r="W110" s="10">
        <v>-2070</v>
      </c>
      <c r="X110" s="10">
        <v>2287</v>
      </c>
      <c r="Y110" s="10">
        <v>-4730</v>
      </c>
      <c r="Z110" s="10">
        <v>653</v>
      </c>
      <c r="AA110" s="10">
        <v>-3860</v>
      </c>
      <c r="AB110" s="10">
        <v>2701</v>
      </c>
      <c r="AC110" s="10">
        <v>-9450</v>
      </c>
      <c r="AD110" s="10">
        <v>-319</v>
      </c>
    </row>
    <row r="111" spans="1:32" s="9" customFormat="1" x14ac:dyDescent="0.2"/>
    <row r="112" spans="1:32" x14ac:dyDescent="0.2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</row>
    <row r="113" spans="1:32" x14ac:dyDescent="0.2">
      <c r="AF113">
        <f>AD113+AC113+AB113+Z113</f>
        <v>0</v>
      </c>
    </row>
    <row r="114" spans="1:32" x14ac:dyDescent="0.2">
      <c r="B114" t="s">
        <v>82</v>
      </c>
      <c r="C114">
        <f>C116+C115</f>
        <v>78351</v>
      </c>
      <c r="D114">
        <f t="shared" ref="D114:AD114" si="67">D116+D115</f>
        <v>52896</v>
      </c>
      <c r="E114">
        <f>E116+E115</f>
        <v>45408</v>
      </c>
      <c r="F114">
        <f t="shared" si="67"/>
        <v>52579</v>
      </c>
      <c r="G114">
        <f t="shared" si="67"/>
        <v>229234</v>
      </c>
      <c r="H114">
        <f t="shared" si="67"/>
        <v>88293</v>
      </c>
      <c r="I114">
        <f t="shared" si="67"/>
        <v>61137</v>
      </c>
      <c r="J114">
        <f t="shared" si="67"/>
        <v>53265</v>
      </c>
      <c r="K114">
        <f>K116+K115</f>
        <v>62900</v>
      </c>
      <c r="L114">
        <f t="shared" si="67"/>
        <v>265595</v>
      </c>
      <c r="M114">
        <f t="shared" si="67"/>
        <v>84310</v>
      </c>
      <c r="N114">
        <f t="shared" si="67"/>
        <v>58015</v>
      </c>
      <c r="O114">
        <f t="shared" si="67"/>
        <v>53809</v>
      </c>
      <c r="P114">
        <f t="shared" si="67"/>
        <v>64040</v>
      </c>
      <c r="Q114">
        <f t="shared" si="67"/>
        <v>260174</v>
      </c>
      <c r="R114">
        <f t="shared" si="67"/>
        <v>91819</v>
      </c>
      <c r="S114">
        <f>S116+S115</f>
        <v>58313</v>
      </c>
      <c r="T114">
        <f>T116+T115</f>
        <v>59685</v>
      </c>
      <c r="U114">
        <f t="shared" si="67"/>
        <v>64698</v>
      </c>
      <c r="V114">
        <f t="shared" si="67"/>
        <v>274515</v>
      </c>
      <c r="W114">
        <f t="shared" si="67"/>
        <v>111439</v>
      </c>
      <c r="X114">
        <f t="shared" si="67"/>
        <v>89584</v>
      </c>
      <c r="Y114">
        <f t="shared" si="67"/>
        <v>81434</v>
      </c>
      <c r="Z114">
        <f t="shared" si="67"/>
        <v>83360</v>
      </c>
      <c r="AA114">
        <f t="shared" si="67"/>
        <v>365817</v>
      </c>
      <c r="AB114">
        <f t="shared" si="67"/>
        <v>123945</v>
      </c>
      <c r="AC114">
        <f t="shared" si="67"/>
        <v>97278</v>
      </c>
      <c r="AD114">
        <f t="shared" si="67"/>
        <v>82959</v>
      </c>
      <c r="AF114">
        <f>AD114+AC114+AB114+Z114</f>
        <v>387542</v>
      </c>
    </row>
    <row r="115" spans="1:32" s="10" customFormat="1" x14ac:dyDescent="0.2">
      <c r="A115"/>
      <c r="B115" t="s">
        <v>79</v>
      </c>
      <c r="C115">
        <f>C67</f>
        <v>48175</v>
      </c>
      <c r="D115">
        <f t="shared" ref="D115:AD115" si="68">D67</f>
        <v>32305</v>
      </c>
      <c r="E115">
        <f>E67</f>
        <v>27920</v>
      </c>
      <c r="F115">
        <f t="shared" si="68"/>
        <v>32648</v>
      </c>
      <c r="G115">
        <f t="shared" si="68"/>
        <v>141048</v>
      </c>
      <c r="H115">
        <f t="shared" si="68"/>
        <v>54381</v>
      </c>
      <c r="I115">
        <f t="shared" si="68"/>
        <v>37715</v>
      </c>
      <c r="J115">
        <f t="shared" si="68"/>
        <v>32844</v>
      </c>
      <c r="K115">
        <f t="shared" si="68"/>
        <v>38816</v>
      </c>
      <c r="L115">
        <f t="shared" si="68"/>
        <v>163756</v>
      </c>
      <c r="M115">
        <f t="shared" si="68"/>
        <v>52279</v>
      </c>
      <c r="N115">
        <f t="shared" si="68"/>
        <v>36194</v>
      </c>
      <c r="O115">
        <f t="shared" si="68"/>
        <v>33582</v>
      </c>
      <c r="P115">
        <f t="shared" si="68"/>
        <v>39727</v>
      </c>
      <c r="Q115">
        <f t="shared" si="68"/>
        <v>161782</v>
      </c>
      <c r="R115">
        <f t="shared" si="68"/>
        <v>56602</v>
      </c>
      <c r="S115">
        <f t="shared" si="68"/>
        <v>35943</v>
      </c>
      <c r="T115">
        <f t="shared" si="68"/>
        <v>37005</v>
      </c>
      <c r="U115">
        <f t="shared" si="68"/>
        <v>40009</v>
      </c>
      <c r="V115">
        <f t="shared" si="68"/>
        <v>169559</v>
      </c>
      <c r="W115">
        <f t="shared" si="68"/>
        <v>67111</v>
      </c>
      <c r="X115">
        <f t="shared" si="68"/>
        <v>51505</v>
      </c>
      <c r="Y115">
        <f t="shared" si="68"/>
        <v>46179</v>
      </c>
      <c r="Z115">
        <f t="shared" si="68"/>
        <v>48186</v>
      </c>
      <c r="AA115">
        <f t="shared" si="68"/>
        <v>212981</v>
      </c>
      <c r="AB115">
        <f t="shared" si="68"/>
        <v>69702</v>
      </c>
      <c r="AC115">
        <f t="shared" si="68"/>
        <v>54719</v>
      </c>
      <c r="AD115">
        <f t="shared" si="68"/>
        <v>47074</v>
      </c>
      <c r="AF115" s="10">
        <f>AD115+AC115+AB115+Z115</f>
        <v>219681</v>
      </c>
    </row>
    <row r="116" spans="1:32" x14ac:dyDescent="0.2">
      <c r="A116" s="10"/>
      <c r="B116" s="10" t="s">
        <v>80</v>
      </c>
      <c r="C116" s="10">
        <f>C118+C117</f>
        <v>30176</v>
      </c>
      <c r="D116" s="10">
        <f t="shared" ref="D116:R116" si="69">D118+D117</f>
        <v>20591</v>
      </c>
      <c r="E116" s="10">
        <f>E118+E117</f>
        <v>17488</v>
      </c>
      <c r="F116" s="10">
        <f t="shared" si="69"/>
        <v>19931</v>
      </c>
      <c r="G116" s="10">
        <f t="shared" si="69"/>
        <v>88186</v>
      </c>
      <c r="H116" s="10">
        <f t="shared" si="69"/>
        <v>33912</v>
      </c>
      <c r="I116" s="10">
        <f t="shared" si="69"/>
        <v>23422</v>
      </c>
      <c r="J116" s="10">
        <f t="shared" si="69"/>
        <v>20421</v>
      </c>
      <c r="K116" s="10">
        <f t="shared" si="69"/>
        <v>24084</v>
      </c>
      <c r="L116" s="10">
        <f t="shared" si="69"/>
        <v>101839</v>
      </c>
      <c r="M116" s="10">
        <f t="shared" si="69"/>
        <v>32031</v>
      </c>
      <c r="N116" s="10">
        <f t="shared" si="69"/>
        <v>21821</v>
      </c>
      <c r="O116" s="10">
        <f t="shared" si="69"/>
        <v>20227</v>
      </c>
      <c r="P116" s="10">
        <f t="shared" si="69"/>
        <v>24313</v>
      </c>
      <c r="Q116" s="10">
        <f t="shared" si="69"/>
        <v>98392</v>
      </c>
      <c r="R116" s="10">
        <f t="shared" si="69"/>
        <v>35217</v>
      </c>
      <c r="S116" s="10">
        <f>S118+S117</f>
        <v>22370</v>
      </c>
      <c r="T116" s="10">
        <f t="shared" ref="T116:AD116" si="70">T118+T117</f>
        <v>22680</v>
      </c>
      <c r="U116" s="10">
        <f t="shared" si="70"/>
        <v>24689</v>
      </c>
      <c r="V116" s="10">
        <f t="shared" si="70"/>
        <v>104956</v>
      </c>
      <c r="W116" s="10">
        <f t="shared" si="70"/>
        <v>44328</v>
      </c>
      <c r="X116" s="10">
        <f t="shared" si="70"/>
        <v>38079</v>
      </c>
      <c r="Y116" s="10">
        <f t="shared" si="70"/>
        <v>35255</v>
      </c>
      <c r="Z116" s="10">
        <f t="shared" si="70"/>
        <v>35174</v>
      </c>
      <c r="AA116" s="10">
        <f t="shared" si="70"/>
        <v>152836</v>
      </c>
      <c r="AB116" s="10">
        <f t="shared" si="70"/>
        <v>54243</v>
      </c>
      <c r="AC116" s="10">
        <f t="shared" si="70"/>
        <v>42559</v>
      </c>
      <c r="AD116" s="10">
        <f t="shared" si="70"/>
        <v>35885</v>
      </c>
      <c r="AF116">
        <f>AD116+AC116+AB116+Z116</f>
        <v>167861</v>
      </c>
    </row>
    <row r="117" spans="1:32" s="10" customFormat="1" x14ac:dyDescent="0.2">
      <c r="A117"/>
      <c r="B117" s="11" t="s">
        <v>83</v>
      </c>
      <c r="C117">
        <f>C69</f>
        <v>6817</v>
      </c>
      <c r="D117">
        <f>D69</f>
        <v>6494</v>
      </c>
      <c r="E117">
        <f>E69</f>
        <v>6720</v>
      </c>
      <c r="F117">
        <f>F69</f>
        <v>6811</v>
      </c>
      <c r="G117">
        <f>G69</f>
        <v>26842</v>
      </c>
      <c r="H117">
        <f>H69</f>
        <v>7638</v>
      </c>
      <c r="I117">
        <f>I69</f>
        <v>7528</v>
      </c>
      <c r="J117">
        <f>J69</f>
        <v>7809</v>
      </c>
      <c r="K117">
        <f>K69</f>
        <v>7966</v>
      </c>
      <c r="L117">
        <f>L69</f>
        <v>30941</v>
      </c>
      <c r="M117">
        <f>M69</f>
        <v>8685</v>
      </c>
      <c r="N117">
        <f>N69</f>
        <v>8406</v>
      </c>
      <c r="O117">
        <f>O69</f>
        <v>8683</v>
      </c>
      <c r="P117">
        <f>P69</f>
        <v>8688</v>
      </c>
      <c r="Q117">
        <f>Q69</f>
        <v>34462</v>
      </c>
      <c r="R117">
        <f>R69</f>
        <v>9648</v>
      </c>
      <c r="S117">
        <f>S69</f>
        <v>9517</v>
      </c>
      <c r="T117">
        <f>T69</f>
        <v>9589</v>
      </c>
      <c r="U117">
        <f>U69</f>
        <v>9914</v>
      </c>
      <c r="V117">
        <f>V69</f>
        <v>38668</v>
      </c>
      <c r="W117">
        <f>W69</f>
        <v>10794</v>
      </c>
      <c r="X117">
        <f>X69</f>
        <v>10576</v>
      </c>
      <c r="Y117">
        <f>Y69</f>
        <v>11129</v>
      </c>
      <c r="Z117">
        <f>Z69</f>
        <v>11388</v>
      </c>
      <c r="AA117">
        <f>AA69</f>
        <v>43887</v>
      </c>
      <c r="AB117">
        <f>AB69</f>
        <v>12755</v>
      </c>
      <c r="AC117">
        <f>AC69</f>
        <v>12580</v>
      </c>
      <c r="AD117">
        <f>AD69</f>
        <v>12809</v>
      </c>
      <c r="AF117">
        <f>AD117+AC117+AB117+Z117</f>
        <v>49532</v>
      </c>
    </row>
    <row r="118" spans="1:32" x14ac:dyDescent="0.2">
      <c r="A118" s="10"/>
      <c r="B118" s="10" t="s">
        <v>85</v>
      </c>
      <c r="C118" s="10">
        <f>C120-C119</f>
        <v>23359</v>
      </c>
      <c r="D118" s="10">
        <f t="shared" ref="D118:AD118" si="71">D120-D119</f>
        <v>14097</v>
      </c>
      <c r="E118" s="10">
        <f>E120-E119</f>
        <v>10768</v>
      </c>
      <c r="F118" s="10">
        <f t="shared" si="71"/>
        <v>13120</v>
      </c>
      <c r="G118" s="10">
        <f t="shared" si="71"/>
        <v>61344</v>
      </c>
      <c r="H118" s="10">
        <f t="shared" si="71"/>
        <v>26274</v>
      </c>
      <c r="I118" s="10">
        <f t="shared" si="71"/>
        <v>15894</v>
      </c>
      <c r="J118" s="10">
        <f t="shared" si="71"/>
        <v>12612</v>
      </c>
      <c r="K118" s="10">
        <f t="shared" si="71"/>
        <v>16118</v>
      </c>
      <c r="L118" s="10">
        <f t="shared" si="71"/>
        <v>70898</v>
      </c>
      <c r="M118" s="10">
        <f t="shared" si="71"/>
        <v>23346</v>
      </c>
      <c r="N118" s="10">
        <f t="shared" si="71"/>
        <v>13415</v>
      </c>
      <c r="O118" s="10">
        <f t="shared" si="71"/>
        <v>11544</v>
      </c>
      <c r="P118" s="10">
        <f t="shared" si="71"/>
        <v>15625</v>
      </c>
      <c r="Q118" s="10">
        <f t="shared" si="71"/>
        <v>63930</v>
      </c>
      <c r="R118" s="10">
        <f t="shared" si="71"/>
        <v>25569</v>
      </c>
      <c r="S118" s="10">
        <f>S120-S119</f>
        <v>12853</v>
      </c>
      <c r="T118" s="10">
        <f t="shared" si="71"/>
        <v>13091</v>
      </c>
      <c r="U118" s="10">
        <f t="shared" si="71"/>
        <v>14775</v>
      </c>
      <c r="V118" s="10">
        <f t="shared" si="71"/>
        <v>66288</v>
      </c>
      <c r="W118" s="10">
        <f t="shared" si="71"/>
        <v>33534</v>
      </c>
      <c r="X118" s="10">
        <f t="shared" si="71"/>
        <v>27503</v>
      </c>
      <c r="Y118" s="10">
        <f t="shared" si="71"/>
        <v>24126</v>
      </c>
      <c r="Z118" s="10">
        <f t="shared" si="71"/>
        <v>23786</v>
      </c>
      <c r="AA118" s="10">
        <f t="shared" si="71"/>
        <v>108949</v>
      </c>
      <c r="AB118" s="10">
        <f t="shared" si="71"/>
        <v>41488</v>
      </c>
      <c r="AC118" s="10">
        <f t="shared" si="71"/>
        <v>29979</v>
      </c>
      <c r="AD118" s="10">
        <f t="shared" si="71"/>
        <v>23076</v>
      </c>
      <c r="AF118">
        <f>AD118+AC118+AB118+Z118</f>
        <v>118329</v>
      </c>
    </row>
    <row r="119" spans="1:32" s="10" customFormat="1" x14ac:dyDescent="0.2">
      <c r="A119"/>
      <c r="B119" t="s">
        <v>86</v>
      </c>
      <c r="C119">
        <f>C74</f>
        <v>2987</v>
      </c>
      <c r="D119">
        <f>D74</f>
        <v>2332</v>
      </c>
      <c r="E119">
        <f>E74</f>
        <v>2354</v>
      </c>
      <c r="F119">
        <f>F74</f>
        <v>2484</v>
      </c>
      <c r="G119">
        <f>G74</f>
        <v>10157</v>
      </c>
      <c r="H119">
        <f>H74</f>
        <v>2745</v>
      </c>
      <c r="I119">
        <f>I74</f>
        <v>2739</v>
      </c>
      <c r="J119">
        <f>J74</f>
        <v>2665</v>
      </c>
      <c r="K119">
        <f>K74</f>
        <v>2754</v>
      </c>
      <c r="L119">
        <f>L74</f>
        <v>10903</v>
      </c>
      <c r="M119">
        <f>M74</f>
        <v>3395</v>
      </c>
      <c r="N119">
        <f>N74</f>
        <v>3040</v>
      </c>
      <c r="O119">
        <f>O74</f>
        <v>2933</v>
      </c>
      <c r="P119">
        <f>P74</f>
        <v>3179</v>
      </c>
      <c r="Q119">
        <f>Q74</f>
        <v>12547</v>
      </c>
      <c r="R119">
        <f>R74</f>
        <v>2816</v>
      </c>
      <c r="S119">
        <f>S74</f>
        <v>2786</v>
      </c>
      <c r="T119">
        <f>T74</f>
        <v>2752</v>
      </c>
      <c r="U119">
        <f>U74</f>
        <v>2702</v>
      </c>
      <c r="V119">
        <f>V74</f>
        <v>11056</v>
      </c>
      <c r="W119">
        <f>W74</f>
        <v>2666</v>
      </c>
      <c r="X119">
        <f>X74</f>
        <v>2797</v>
      </c>
      <c r="Y119">
        <f>Y74</f>
        <v>2832</v>
      </c>
      <c r="Z119">
        <f>Z74</f>
        <v>2989</v>
      </c>
      <c r="AA119">
        <f>AA74</f>
        <v>11284</v>
      </c>
      <c r="AB119">
        <f>AB74</f>
        <v>2697</v>
      </c>
      <c r="AC119">
        <f>AC74</f>
        <v>2737</v>
      </c>
      <c r="AD119">
        <f>AD74</f>
        <v>2805</v>
      </c>
      <c r="AF119" s="10">
        <f>AD119+AC119+AB119+Z119</f>
        <v>11228</v>
      </c>
    </row>
    <row r="120" spans="1:32" x14ac:dyDescent="0.2">
      <c r="A120" s="10"/>
      <c r="B120" s="10" t="s">
        <v>81</v>
      </c>
      <c r="C120" s="10">
        <f>C122-C121</f>
        <v>26346</v>
      </c>
      <c r="D120" s="10">
        <f t="shared" ref="D120:AC120" si="72">D122-D121</f>
        <v>16429</v>
      </c>
      <c r="E120" s="10">
        <f>E122-E121</f>
        <v>13122</v>
      </c>
      <c r="F120" s="10">
        <f t="shared" si="72"/>
        <v>15604</v>
      </c>
      <c r="G120" s="10">
        <f t="shared" si="72"/>
        <v>71501</v>
      </c>
      <c r="H120" s="10">
        <f t="shared" si="72"/>
        <v>29019</v>
      </c>
      <c r="I120" s="10">
        <f t="shared" si="72"/>
        <v>18633</v>
      </c>
      <c r="J120" s="10">
        <f t="shared" si="72"/>
        <v>15277</v>
      </c>
      <c r="K120" s="10">
        <f t="shared" si="72"/>
        <v>18872</v>
      </c>
      <c r="L120" s="10">
        <f t="shared" si="72"/>
        <v>81801</v>
      </c>
      <c r="M120" s="10">
        <f t="shared" si="72"/>
        <v>26741</v>
      </c>
      <c r="N120" s="10">
        <f t="shared" si="72"/>
        <v>16455</v>
      </c>
      <c r="O120" s="10">
        <f t="shared" si="72"/>
        <v>14477</v>
      </c>
      <c r="P120" s="10">
        <f t="shared" si="72"/>
        <v>18804</v>
      </c>
      <c r="Q120" s="10">
        <f t="shared" si="72"/>
        <v>76477</v>
      </c>
      <c r="R120" s="10">
        <f>R122-R121</f>
        <v>28385</v>
      </c>
      <c r="S120" s="10">
        <f>S122-S121</f>
        <v>15639</v>
      </c>
      <c r="T120" s="10">
        <f t="shared" si="72"/>
        <v>15843</v>
      </c>
      <c r="U120" s="10">
        <f t="shared" si="72"/>
        <v>17477</v>
      </c>
      <c r="V120" s="10">
        <f t="shared" si="72"/>
        <v>77344</v>
      </c>
      <c r="W120" s="10">
        <f t="shared" si="72"/>
        <v>36200</v>
      </c>
      <c r="X120" s="10">
        <f t="shared" si="72"/>
        <v>30300</v>
      </c>
      <c r="Y120" s="10">
        <f t="shared" si="72"/>
        <v>26958</v>
      </c>
      <c r="Z120" s="10">
        <f t="shared" si="72"/>
        <v>26775</v>
      </c>
      <c r="AA120" s="10">
        <f t="shared" si="72"/>
        <v>120233</v>
      </c>
      <c r="AB120" s="10">
        <f t="shared" si="72"/>
        <v>44185</v>
      </c>
      <c r="AC120" s="10">
        <f t="shared" si="72"/>
        <v>32716</v>
      </c>
      <c r="AD120" s="10">
        <f>AD122-AD121</f>
        <v>25881</v>
      </c>
      <c r="AF120">
        <f>AD120+AC120+AB120+Z120</f>
        <v>129557</v>
      </c>
    </row>
    <row r="121" spans="1:32" s="10" customFormat="1" x14ac:dyDescent="0.2">
      <c r="A121"/>
      <c r="B121" t="s">
        <v>183</v>
      </c>
      <c r="C121">
        <f>C71</f>
        <v>821</v>
      </c>
      <c r="D121">
        <f>D71</f>
        <v>587</v>
      </c>
      <c r="E121">
        <f>E71</f>
        <v>540</v>
      </c>
      <c r="F121">
        <f>F71</f>
        <v>797</v>
      </c>
      <c r="G121">
        <f>G71</f>
        <v>2745</v>
      </c>
      <c r="H121">
        <f>H71</f>
        <v>756</v>
      </c>
      <c r="I121">
        <f>I71</f>
        <v>274</v>
      </c>
      <c r="J121">
        <f>J71</f>
        <v>672</v>
      </c>
      <c r="K121">
        <f>K71</f>
        <v>303</v>
      </c>
      <c r="L121">
        <f>L71</f>
        <v>2005</v>
      </c>
      <c r="M121">
        <f>M71</f>
        <v>560</v>
      </c>
      <c r="N121">
        <f>N71</f>
        <v>378</v>
      </c>
      <c r="O121">
        <f>O71</f>
        <v>367</v>
      </c>
      <c r="P121">
        <f>P71</f>
        <v>502</v>
      </c>
      <c r="Q121">
        <f>Q71</f>
        <v>1807</v>
      </c>
      <c r="R121">
        <f>R71</f>
        <v>349</v>
      </c>
      <c r="S121">
        <f>S71</f>
        <v>282</v>
      </c>
      <c r="T121">
        <f>T71</f>
        <v>46</v>
      </c>
      <c r="U121">
        <f>U71</f>
        <v>126</v>
      </c>
      <c r="V121">
        <f>V71</f>
        <v>803</v>
      </c>
      <c r="W121">
        <f>W71</f>
        <v>45</v>
      </c>
      <c r="X121">
        <f>X71</f>
        <v>508</v>
      </c>
      <c r="Y121">
        <f>Y71</f>
        <v>243</v>
      </c>
      <c r="Z121">
        <f>Z71</f>
        <v>-538</v>
      </c>
      <c r="AA121">
        <f>AA71</f>
        <v>258</v>
      </c>
      <c r="AB121">
        <f>AB71</f>
        <v>-247</v>
      </c>
      <c r="AC121">
        <f>AC71</f>
        <v>160</v>
      </c>
      <c r="AD121">
        <f>AD71</f>
        <v>-10</v>
      </c>
      <c r="AF121" s="10">
        <f>AD121+AC121+AB121+Z121</f>
        <v>-635</v>
      </c>
    </row>
    <row r="122" spans="1:32" x14ac:dyDescent="0.2">
      <c r="A122" s="10"/>
      <c r="B122" s="10" t="s">
        <v>99</v>
      </c>
      <c r="C122" s="10">
        <f>C131-SUM(C123:C130)</f>
        <v>27167</v>
      </c>
      <c r="D122" s="10">
        <f>D131-SUM(D123:D130)</f>
        <v>17016</v>
      </c>
      <c r="E122" s="10">
        <f>E131-SUM(E123:E130)</f>
        <v>13662</v>
      </c>
      <c r="F122" s="10">
        <f>F131-SUM(F123:F130)</f>
        <v>16401</v>
      </c>
      <c r="G122" s="10">
        <f>G131-SUM(G123:G130)</f>
        <v>74246</v>
      </c>
      <c r="H122" s="10">
        <f>H131-SUM(H123:H130)</f>
        <v>29775</v>
      </c>
      <c r="I122" s="10">
        <f>I131-SUM(I123:I130)</f>
        <v>18907</v>
      </c>
      <c r="J122" s="10">
        <f>J131-SUM(J123:J130)</f>
        <v>15949</v>
      </c>
      <c r="K122" s="10">
        <f>K131-SUM(K123:K130)</f>
        <v>19175</v>
      </c>
      <c r="L122" s="10">
        <f>L131-SUM(L123:L130)</f>
        <v>83806</v>
      </c>
      <c r="M122" s="10">
        <f>M131-SUM(M123:M130)</f>
        <v>27301</v>
      </c>
      <c r="N122" s="10">
        <f>N131-SUM(N123:N130)</f>
        <v>16833</v>
      </c>
      <c r="O122" s="10">
        <f>O131-SUM(O123:O130)</f>
        <v>14844</v>
      </c>
      <c r="P122" s="10">
        <f>P131-SUM(P123:P130)</f>
        <v>19306</v>
      </c>
      <c r="Q122" s="10">
        <f>Q131-SUM(Q123:Q130)</f>
        <v>78284</v>
      </c>
      <c r="R122" s="10">
        <f>R131-SUM(R123:R130)</f>
        <v>28734</v>
      </c>
      <c r="S122" s="10">
        <f>S131-SUM(S123:S130)</f>
        <v>15921</v>
      </c>
      <c r="T122" s="10">
        <f>T131-SUM(T123:T130)</f>
        <v>15889</v>
      </c>
      <c r="U122" s="10">
        <f>U131-SUM(U123:U130)</f>
        <v>17603</v>
      </c>
      <c r="V122" s="10">
        <f>V131-SUM(V123:V130)</f>
        <v>78147</v>
      </c>
      <c r="W122" s="10">
        <f>W131-SUM(W123:W130)</f>
        <v>36245</v>
      </c>
      <c r="X122" s="10">
        <f>X131-SUM(X123:X130)</f>
        <v>30808</v>
      </c>
      <c r="Y122" s="10">
        <f>Y131-SUM(Y123:Y130)</f>
        <v>27201</v>
      </c>
      <c r="Z122" s="10">
        <f>Z131-SUM(Z123:Z130)</f>
        <v>26237</v>
      </c>
      <c r="AA122" s="10">
        <f>AA131-SUM(AA123:AA130)</f>
        <v>120491</v>
      </c>
      <c r="AB122" s="10">
        <f>AB131-SUM(AB123:AB130)</f>
        <v>43938</v>
      </c>
      <c r="AC122" s="10">
        <f>AC131-SUM(AC123:AC130)</f>
        <v>32876</v>
      </c>
      <c r="AD122" s="10">
        <f>AD131-SUM(AD123:AD130)</f>
        <v>25871</v>
      </c>
      <c r="AE122" s="11"/>
    </row>
    <row r="123" spans="1:32" s="9" customFormat="1" x14ac:dyDescent="0.2">
      <c r="A123"/>
      <c r="B123" s="11" t="str">
        <f>B92</f>
        <v>less change NWC</v>
      </c>
      <c r="C123" s="11">
        <f>C92</f>
        <v>6446</v>
      </c>
      <c r="D123" s="11">
        <f>D92</f>
        <v>-2823</v>
      </c>
      <c r="E123" s="11">
        <f>E92</f>
        <v>-2384</v>
      </c>
      <c r="F123" s="11">
        <f>F92</f>
        <v>3369</v>
      </c>
      <c r="G123" s="11">
        <f>G92</f>
        <v>4608</v>
      </c>
      <c r="H123" s="11">
        <f>H92</f>
        <v>39428</v>
      </c>
      <c r="I123" s="11">
        <f>I92</f>
        <v>63</v>
      </c>
      <c r="J123" s="11">
        <f>J92</f>
        <v>-1551</v>
      </c>
      <c r="K123" s="11">
        <f>K92</f>
        <v>2517</v>
      </c>
      <c r="L123" s="11">
        <f>L92</f>
        <v>40457</v>
      </c>
      <c r="M123" s="11">
        <f>M92</f>
        <v>4217</v>
      </c>
      <c r="N123" s="11">
        <f>N92</f>
        <v>-3277</v>
      </c>
      <c r="O123" s="11">
        <f>O92</f>
        <v>-2712</v>
      </c>
      <c r="P123" s="11">
        <f>P92</f>
        <v>3479</v>
      </c>
      <c r="Q123" s="11">
        <f>Q92</f>
        <v>1707</v>
      </c>
      <c r="R123" s="11">
        <f>R92</f>
        <v>13009</v>
      </c>
      <c r="S123" s="11">
        <f>S92</f>
        <v>1507</v>
      </c>
      <c r="T123" s="11">
        <f>T92</f>
        <v>-838</v>
      </c>
      <c r="U123" s="11">
        <f>U92</f>
        <v>8429</v>
      </c>
      <c r="V123" s="11">
        <f>V92</f>
        <v>22107</v>
      </c>
      <c r="W123" s="11">
        <f>W92</f>
        <v>10901</v>
      </c>
      <c r="X123" s="11">
        <f>X92</f>
        <v>-991</v>
      </c>
      <c r="Y123" s="11">
        <f>Y92</f>
        <v>-1171</v>
      </c>
      <c r="Z123" s="11">
        <f>Z92</f>
        <v>2298</v>
      </c>
      <c r="AA123" s="11">
        <f>AA92</f>
        <v>11037</v>
      </c>
      <c r="AB123" s="11">
        <f>AB92</f>
        <v>13711</v>
      </c>
      <c r="AC123" s="11">
        <f>AC92</f>
        <v>-1179</v>
      </c>
      <c r="AD123" s="11">
        <f>AD92</f>
        <v>-1235</v>
      </c>
      <c r="AE123" s="11"/>
      <c r="AF123">
        <f>AD123+AC123+AB123+Z123</f>
        <v>13595</v>
      </c>
    </row>
    <row r="124" spans="1:32" s="9" customFormat="1" x14ac:dyDescent="0.2">
      <c r="B124" s="11" t="str">
        <f>B94</f>
        <v>less Op Other</v>
      </c>
      <c r="C124" s="11">
        <f t="shared" ref="C124:X124" si="73">C94</f>
        <v>-1720</v>
      </c>
      <c r="D124" s="11">
        <f t="shared" si="73"/>
        <v>615</v>
      </c>
      <c r="E124" s="11">
        <f>E94</f>
        <v>-2266</v>
      </c>
      <c r="F124" s="11">
        <f t="shared" si="73"/>
        <v>-2113</v>
      </c>
      <c r="G124" s="11">
        <f t="shared" si="73"/>
        <v>-5484</v>
      </c>
      <c r="H124" s="11">
        <f t="shared" si="73"/>
        <v>-208</v>
      </c>
      <c r="I124" s="11">
        <f t="shared" si="73"/>
        <v>-996</v>
      </c>
      <c r="J124" s="11">
        <f t="shared" si="73"/>
        <v>729</v>
      </c>
      <c r="K124" s="11">
        <f t="shared" si="73"/>
        <v>-392</v>
      </c>
      <c r="L124" s="11">
        <f t="shared" si="73"/>
        <v>-867</v>
      </c>
      <c r="M124" s="11">
        <f t="shared" si="73"/>
        <v>-940</v>
      </c>
      <c r="N124" s="11">
        <f t="shared" si="73"/>
        <v>8</v>
      </c>
      <c r="O124" s="11">
        <f t="shared" si="73"/>
        <v>1285</v>
      </c>
      <c r="P124" s="11">
        <f t="shared" si="73"/>
        <v>-132</v>
      </c>
      <c r="Q124" s="11">
        <f t="shared" si="73"/>
        <v>221</v>
      </c>
      <c r="R124" s="11">
        <f t="shared" si="73"/>
        <v>-7196</v>
      </c>
      <c r="S124" s="11">
        <f t="shared" si="73"/>
        <v>-1929</v>
      </c>
      <c r="T124" s="11">
        <f t="shared" si="73"/>
        <v>2271</v>
      </c>
      <c r="U124" s="11">
        <f t="shared" si="73"/>
        <v>-2831</v>
      </c>
      <c r="V124" s="11">
        <f t="shared" si="73"/>
        <v>-9685</v>
      </c>
      <c r="W124" s="11">
        <f t="shared" si="73"/>
        <v>-3501</v>
      </c>
      <c r="X124" s="11">
        <f t="shared" si="73"/>
        <v>-1306</v>
      </c>
      <c r="Y124" s="11">
        <f>Y94</f>
        <v>-1781</v>
      </c>
      <c r="Z124" s="11">
        <f t="shared" ref="Z124:AD124" si="74">Z94</f>
        <v>-1601</v>
      </c>
      <c r="AA124" s="11">
        <f t="shared" si="74"/>
        <v>-8189</v>
      </c>
      <c r="AB124" s="11">
        <f t="shared" si="74"/>
        <v>-4754</v>
      </c>
      <c r="AC124" s="11">
        <f t="shared" si="74"/>
        <v>1192</v>
      </c>
      <c r="AD124" s="11">
        <f t="shared" si="74"/>
        <v>212</v>
      </c>
      <c r="AF124">
        <f>AD124+AC124+AB124+Z124</f>
        <v>-4951</v>
      </c>
    </row>
    <row r="125" spans="1:32" x14ac:dyDescent="0.2">
      <c r="A125" s="9"/>
      <c r="B125" s="9" t="s">
        <v>88</v>
      </c>
      <c r="C125" s="9">
        <f>C97</f>
        <v>-3334</v>
      </c>
      <c r="D125" s="9">
        <f t="shared" ref="D125:AD126" si="75">D97</f>
        <v>-2975</v>
      </c>
      <c r="E125" s="9">
        <f>E97</f>
        <v>-2277</v>
      </c>
      <c r="F125" s="9">
        <f t="shared" si="75"/>
        <v>-3865</v>
      </c>
      <c r="G125" s="9">
        <f t="shared" si="75"/>
        <v>-12451</v>
      </c>
      <c r="H125" s="9">
        <f t="shared" si="75"/>
        <v>-2810</v>
      </c>
      <c r="I125" s="9">
        <f t="shared" si="75"/>
        <v>-4195</v>
      </c>
      <c r="J125" s="9">
        <f t="shared" si="75"/>
        <v>-3267</v>
      </c>
      <c r="K125" s="9">
        <f t="shared" si="75"/>
        <v>-3041</v>
      </c>
      <c r="L125" s="9">
        <f t="shared" si="75"/>
        <v>-13313</v>
      </c>
      <c r="M125" s="9">
        <f t="shared" si="75"/>
        <v>-3355</v>
      </c>
      <c r="N125" s="9">
        <f t="shared" si="75"/>
        <v>-2363</v>
      </c>
      <c r="O125" s="9">
        <f t="shared" si="75"/>
        <v>-2000</v>
      </c>
      <c r="P125" s="9">
        <f t="shared" si="75"/>
        <v>-2777</v>
      </c>
      <c r="Q125" s="9">
        <f t="shared" si="75"/>
        <v>-10495</v>
      </c>
      <c r="R125" s="9">
        <f t="shared" si="75"/>
        <v>-2107</v>
      </c>
      <c r="S125" s="9">
        <f t="shared" si="75"/>
        <v>-1853</v>
      </c>
      <c r="T125" s="9">
        <f t="shared" si="75"/>
        <v>-1565</v>
      </c>
      <c r="U125" s="9">
        <f t="shared" si="75"/>
        <v>-1784</v>
      </c>
      <c r="V125" s="9">
        <f t="shared" si="75"/>
        <v>-7309</v>
      </c>
      <c r="W125" s="9">
        <f t="shared" si="75"/>
        <v>-3500</v>
      </c>
      <c r="X125" s="9">
        <f t="shared" si="75"/>
        <v>-2269</v>
      </c>
      <c r="Y125" s="9">
        <f t="shared" si="75"/>
        <v>-2093</v>
      </c>
      <c r="Z125" s="9">
        <f t="shared" si="75"/>
        <v>-3223</v>
      </c>
      <c r="AA125" s="9">
        <f t="shared" si="75"/>
        <v>-11085</v>
      </c>
      <c r="AB125" s="9">
        <f t="shared" si="75"/>
        <v>-2803</v>
      </c>
      <c r="AC125" s="9">
        <f t="shared" si="75"/>
        <v>-2514</v>
      </c>
      <c r="AD125" s="9">
        <f t="shared" si="75"/>
        <v>-2102</v>
      </c>
      <c r="AE125" s="9"/>
      <c r="AF125">
        <f>AD125+AC125+AB125+Z125</f>
        <v>-10642</v>
      </c>
    </row>
    <row r="126" spans="1:32" x14ac:dyDescent="0.2">
      <c r="B126" t="s">
        <v>101</v>
      </c>
      <c r="C126" s="9">
        <f>C98</f>
        <v>-103</v>
      </c>
      <c r="D126" s="9">
        <f t="shared" si="75"/>
        <v>-90</v>
      </c>
      <c r="E126" s="9">
        <f>E98</f>
        <v>-351</v>
      </c>
      <c r="F126" s="9">
        <f t="shared" si="75"/>
        <v>-524</v>
      </c>
      <c r="G126" s="9">
        <f t="shared" si="75"/>
        <v>-1068</v>
      </c>
      <c r="H126" s="9">
        <f t="shared" si="75"/>
        <v>-421</v>
      </c>
      <c r="I126" s="9">
        <f t="shared" si="75"/>
        <v>116</v>
      </c>
      <c r="J126" s="9">
        <f t="shared" si="75"/>
        <v>-126</v>
      </c>
      <c r="K126" s="9">
        <f t="shared" si="75"/>
        <v>-290</v>
      </c>
      <c r="L126" s="9">
        <f t="shared" si="75"/>
        <v>-721</v>
      </c>
      <c r="M126" s="9">
        <f t="shared" si="75"/>
        <v>-167</v>
      </c>
      <c r="N126" s="9">
        <f t="shared" si="75"/>
        <v>-124</v>
      </c>
      <c r="O126" s="9">
        <f t="shared" si="75"/>
        <v>-320</v>
      </c>
      <c r="P126" s="9">
        <f t="shared" si="75"/>
        <v>-13</v>
      </c>
      <c r="Q126" s="9">
        <f t="shared" si="75"/>
        <v>-624</v>
      </c>
      <c r="R126" s="9">
        <f t="shared" si="75"/>
        <v>-958</v>
      </c>
      <c r="S126" s="9">
        <f t="shared" si="75"/>
        <v>-176</v>
      </c>
      <c r="T126" s="9">
        <f t="shared" si="75"/>
        <v>-339</v>
      </c>
      <c r="U126" s="9">
        <f t="shared" si="75"/>
        <v>-51</v>
      </c>
      <c r="V126" s="9">
        <f t="shared" si="75"/>
        <v>-1524</v>
      </c>
      <c r="W126" s="9">
        <f t="shared" si="75"/>
        <v>-9</v>
      </c>
      <c r="X126" s="9">
        <f t="shared" si="75"/>
        <v>0</v>
      </c>
      <c r="Y126" s="9">
        <f t="shared" si="75"/>
        <v>-4</v>
      </c>
      <c r="Z126" s="9">
        <f t="shared" si="75"/>
        <v>-20</v>
      </c>
      <c r="AA126" s="9">
        <f t="shared" si="75"/>
        <v>-33</v>
      </c>
      <c r="AB126" s="9">
        <f t="shared" si="75"/>
        <v>0</v>
      </c>
      <c r="AC126" s="9">
        <f t="shared" si="75"/>
        <v>-167</v>
      </c>
      <c r="AD126" s="9">
        <f t="shared" si="75"/>
        <v>-2</v>
      </c>
      <c r="AF126">
        <f>AD126+AC126+AB126+Z126</f>
        <v>-189</v>
      </c>
    </row>
    <row r="127" spans="1:32" x14ac:dyDescent="0.2">
      <c r="B127" t="s">
        <v>97</v>
      </c>
      <c r="C127">
        <f>C99</f>
        <v>-15581</v>
      </c>
      <c r="D127">
        <f t="shared" ref="D127:AD127" si="76">D99</f>
        <v>-11357</v>
      </c>
      <c r="E127">
        <f>E99</f>
        <v>-749</v>
      </c>
      <c r="F127">
        <f t="shared" si="76"/>
        <v>-5460</v>
      </c>
      <c r="G127">
        <f t="shared" si="76"/>
        <v>-33147</v>
      </c>
      <c r="H127">
        <f t="shared" si="76"/>
        <v>-10423</v>
      </c>
      <c r="I127">
        <f t="shared" si="76"/>
        <v>32800</v>
      </c>
      <c r="J127">
        <f t="shared" si="76"/>
        <v>9394</v>
      </c>
      <c r="K127">
        <f t="shared" si="76"/>
        <v>592</v>
      </c>
      <c r="L127">
        <f t="shared" si="76"/>
        <v>32363</v>
      </c>
      <c r="M127">
        <f t="shared" si="76"/>
        <v>9849</v>
      </c>
      <c r="N127">
        <f t="shared" si="76"/>
        <v>15812</v>
      </c>
      <c r="O127">
        <f t="shared" si="76"/>
        <v>28736</v>
      </c>
      <c r="P127">
        <f t="shared" si="76"/>
        <v>3063</v>
      </c>
      <c r="Q127">
        <f t="shared" si="76"/>
        <v>57460</v>
      </c>
      <c r="R127">
        <f t="shared" si="76"/>
        <v>-10396</v>
      </c>
      <c r="S127">
        <f t="shared" si="76"/>
        <v>11407</v>
      </c>
      <c r="T127">
        <f t="shared" si="76"/>
        <v>-2992</v>
      </c>
      <c r="U127">
        <f t="shared" si="76"/>
        <v>7434</v>
      </c>
      <c r="V127">
        <f t="shared" si="76"/>
        <v>5453</v>
      </c>
      <c r="W127">
        <f t="shared" si="76"/>
        <v>-5279</v>
      </c>
      <c r="X127">
        <f t="shared" si="76"/>
        <v>-7895</v>
      </c>
      <c r="Y127">
        <f t="shared" si="76"/>
        <v>5747</v>
      </c>
      <c r="Z127">
        <f t="shared" si="76"/>
        <v>4352</v>
      </c>
      <c r="AA127">
        <f t="shared" si="76"/>
        <v>-3075</v>
      </c>
      <c r="AB127">
        <f t="shared" si="76"/>
        <v>-12929</v>
      </c>
      <c r="AC127">
        <f t="shared" si="76"/>
        <v>-6390</v>
      </c>
      <c r="AD127">
        <f t="shared" si="76"/>
        <v>6953</v>
      </c>
      <c r="AF127">
        <f t="shared" ref="AF127:AF128" si="77">AD127+AC127+AB127+Z127</f>
        <v>-8014</v>
      </c>
    </row>
    <row r="128" spans="1:32" x14ac:dyDescent="0.2">
      <c r="B128" t="s">
        <v>96</v>
      </c>
      <c r="C128">
        <f>C100</f>
        <v>0</v>
      </c>
      <c r="D128">
        <f t="shared" ref="D128:AD128" si="78">D100</f>
        <v>0</v>
      </c>
      <c r="E128">
        <f>E100</f>
        <v>0</v>
      </c>
      <c r="F128">
        <f t="shared" si="78"/>
        <v>0</v>
      </c>
      <c r="G128">
        <f t="shared" si="78"/>
        <v>0</v>
      </c>
      <c r="H128">
        <f t="shared" si="78"/>
        <v>0</v>
      </c>
      <c r="I128">
        <f t="shared" si="78"/>
        <v>0</v>
      </c>
      <c r="J128">
        <f t="shared" si="78"/>
        <v>-1478</v>
      </c>
      <c r="K128">
        <f t="shared" si="78"/>
        <v>-40</v>
      </c>
      <c r="L128">
        <f t="shared" si="78"/>
        <v>-1518</v>
      </c>
      <c r="M128">
        <f t="shared" si="78"/>
        <v>-427</v>
      </c>
      <c r="N128">
        <f t="shared" si="78"/>
        <v>-63</v>
      </c>
      <c r="O128">
        <f t="shared" si="78"/>
        <v>1384</v>
      </c>
      <c r="P128">
        <f t="shared" si="78"/>
        <v>-261</v>
      </c>
      <c r="Q128">
        <f t="shared" si="78"/>
        <v>633</v>
      </c>
      <c r="R128">
        <f t="shared" si="78"/>
        <v>-77</v>
      </c>
      <c r="S128">
        <f t="shared" si="78"/>
        <v>-69</v>
      </c>
      <c r="T128">
        <f t="shared" si="78"/>
        <v>-6</v>
      </c>
      <c r="U128">
        <f t="shared" si="78"/>
        <v>34</v>
      </c>
      <c r="V128">
        <f t="shared" si="78"/>
        <v>-118</v>
      </c>
      <c r="W128">
        <f t="shared" si="78"/>
        <v>0</v>
      </c>
      <c r="X128">
        <f t="shared" si="78"/>
        <v>0</v>
      </c>
      <c r="Y128">
        <f t="shared" si="78"/>
        <v>0</v>
      </c>
      <c r="Z128">
        <f t="shared" si="78"/>
        <v>256</v>
      </c>
      <c r="AA128">
        <f t="shared" si="78"/>
        <v>256</v>
      </c>
      <c r="AB128">
        <f t="shared" si="78"/>
        <v>0</v>
      </c>
      <c r="AC128">
        <f t="shared" si="78"/>
        <v>0</v>
      </c>
      <c r="AD128">
        <f t="shared" si="78"/>
        <v>0</v>
      </c>
      <c r="AF128">
        <f t="shared" si="77"/>
        <v>256</v>
      </c>
    </row>
    <row r="129" spans="1:32" x14ac:dyDescent="0.2">
      <c r="A129" s="9"/>
      <c r="B129" s="9" t="s">
        <v>102</v>
      </c>
      <c r="C129" s="9">
        <f>C101</f>
        <v>-104</v>
      </c>
      <c r="D129" s="9">
        <f>D101</f>
        <v>220</v>
      </c>
      <c r="E129" s="9">
        <f>E101</f>
        <v>197</v>
      </c>
      <c r="F129" s="9">
        <f>F101</f>
        <v>-93</v>
      </c>
      <c r="G129" s="9">
        <f>G101</f>
        <v>220</v>
      </c>
      <c r="H129" s="9">
        <f>H101</f>
        <v>64</v>
      </c>
      <c r="I129" s="9">
        <f>I101</f>
        <v>-11</v>
      </c>
      <c r="J129" s="9">
        <f>J101</f>
        <v>-576</v>
      </c>
      <c r="K129" s="9">
        <f>K101</f>
        <v>-222</v>
      </c>
      <c r="L129" s="9">
        <f>L101</f>
        <v>-745</v>
      </c>
      <c r="M129" s="9">
        <f>M101</f>
        <v>-56</v>
      </c>
      <c r="N129" s="9">
        <f>N101</f>
        <v>86</v>
      </c>
      <c r="O129" s="9">
        <f>O101</f>
        <v>-298</v>
      </c>
      <c r="P129" s="9">
        <f>P101</f>
        <v>-810</v>
      </c>
      <c r="Q129" s="9">
        <f>Q101</f>
        <v>-1078</v>
      </c>
      <c r="R129" s="9">
        <f>R101</f>
        <v>-130</v>
      </c>
      <c r="S129" s="9">
        <f>S101</f>
        <v>-296</v>
      </c>
      <c r="T129" s="9">
        <f>T101</f>
        <v>-263</v>
      </c>
      <c r="U129" s="9">
        <f>U101</f>
        <v>-102</v>
      </c>
      <c r="V129" s="9">
        <f>V101</f>
        <v>-791</v>
      </c>
      <c r="W129" s="9">
        <f>W101</f>
        <v>204</v>
      </c>
      <c r="X129" s="9">
        <f>X101</f>
        <v>-204</v>
      </c>
      <c r="Y129" s="9">
        <f>Y101</f>
        <v>-78</v>
      </c>
      <c r="Z129" s="9">
        <f>Z101</f>
        <v>-530</v>
      </c>
      <c r="AA129" s="9">
        <f>AA101</f>
        <v>-608</v>
      </c>
      <c r="AB129" s="9">
        <f>AB101</f>
        <v>-374</v>
      </c>
      <c r="AC129" s="9">
        <f>AC101</f>
        <v>-194</v>
      </c>
      <c r="AD129" s="9">
        <f>AD101</f>
        <v>-615</v>
      </c>
      <c r="AF129">
        <f>AD129+AC129+AB129+Z129</f>
        <v>-1713</v>
      </c>
    </row>
    <row r="130" spans="1:32" s="10" customFormat="1" x14ac:dyDescent="0.2">
      <c r="A130"/>
      <c r="B130" s="11" t="s">
        <v>89</v>
      </c>
      <c r="C130">
        <f>-C75+C93</f>
        <v>-4837</v>
      </c>
      <c r="D130">
        <f>-D75+D93</f>
        <v>-2285</v>
      </c>
      <c r="E130">
        <f>-E75+E93</f>
        <v>-649</v>
      </c>
      <c r="F130">
        <f>-F75+F93</f>
        <v>-2001</v>
      </c>
      <c r="G130">
        <f>-G75+G93</f>
        <v>-9772</v>
      </c>
      <c r="H130">
        <f>-H75+H93</f>
        <v>-40702</v>
      </c>
      <c r="I130">
        <f>-I75+I93</f>
        <v>-2844</v>
      </c>
      <c r="J130">
        <f>-J75+J93</f>
        <v>-639</v>
      </c>
      <c r="K130">
        <f>-K75+K93</f>
        <v>-1777</v>
      </c>
      <c r="L130">
        <f>-L75+L93</f>
        <v>-45962</v>
      </c>
      <c r="M130">
        <f>-M75+M93</f>
        <v>-3888</v>
      </c>
      <c r="N130">
        <f>-N75+N93</f>
        <v>-2409</v>
      </c>
      <c r="O130">
        <f>-O75+O93</f>
        <v>-1781</v>
      </c>
      <c r="P130">
        <f>-P75+P93</f>
        <v>-2743</v>
      </c>
      <c r="Q130">
        <f>-Q75+Q93</f>
        <v>-10821</v>
      </c>
      <c r="R130">
        <f>-R75+R93</f>
        <v>-4031</v>
      </c>
      <c r="S130">
        <f>-S75+S93</f>
        <v>-2188</v>
      </c>
      <c r="T130">
        <f>-T75+T93</f>
        <v>-1051</v>
      </c>
      <c r="U130">
        <f>-U75+U93</f>
        <v>-2625</v>
      </c>
      <c r="V130">
        <f>-V75+V93</f>
        <v>-9895</v>
      </c>
      <c r="W130">
        <f>-W75+W93</f>
        <v>-4882</v>
      </c>
      <c r="X130">
        <f>-X75+X93</f>
        <v>-4530</v>
      </c>
      <c r="Y130">
        <f>-Y75+Y93</f>
        <v>-3155</v>
      </c>
      <c r="Z130">
        <f>-Z75+Z93</f>
        <v>-6734</v>
      </c>
      <c r="AA130">
        <f>-AA75+AA93</f>
        <v>-19301</v>
      </c>
      <c r="AB130">
        <f>-AB75+AB93</f>
        <v>-5929</v>
      </c>
      <c r="AC130">
        <f>-AC75+AC93</f>
        <v>-4723</v>
      </c>
      <c r="AD130">
        <f>-AD75+AD93</f>
        <v>-1956</v>
      </c>
      <c r="AF130" s="10">
        <f>AD130+AC130+AB130+Z130</f>
        <v>-19342</v>
      </c>
    </row>
    <row r="131" spans="1:32" x14ac:dyDescent="0.2">
      <c r="A131" s="10"/>
      <c r="B131" s="10" t="s">
        <v>90</v>
      </c>
      <c r="C131" s="10">
        <f>C136-SUM(C132:C135)</f>
        <v>7934</v>
      </c>
      <c r="D131" s="10">
        <f t="shared" ref="D131:AD131" si="79">D136-SUM(D132:D135)</f>
        <v>-1679</v>
      </c>
      <c r="E131" s="10">
        <f>E136-SUM(E132:E135)</f>
        <v>5183</v>
      </c>
      <c r="F131" s="10">
        <f t="shared" si="79"/>
        <v>5714</v>
      </c>
      <c r="G131" s="10">
        <f t="shared" si="79"/>
        <v>17152</v>
      </c>
      <c r="H131" s="10">
        <f t="shared" si="79"/>
        <v>14703</v>
      </c>
      <c r="I131" s="10">
        <f t="shared" si="79"/>
        <v>43840</v>
      </c>
      <c r="J131" s="10">
        <f t="shared" si="79"/>
        <v>18435</v>
      </c>
      <c r="K131" s="10">
        <f>K136-SUM(K132:K135)</f>
        <v>16522</v>
      </c>
      <c r="L131" s="10">
        <f t="shared" si="79"/>
        <v>93500</v>
      </c>
      <c r="M131" s="10">
        <f t="shared" si="79"/>
        <v>32534</v>
      </c>
      <c r="N131" s="10">
        <f t="shared" si="79"/>
        <v>24503</v>
      </c>
      <c r="O131" s="10">
        <f t="shared" si="79"/>
        <v>39138</v>
      </c>
      <c r="P131" s="10">
        <f>P136-SUM(P132:P135)</f>
        <v>19112</v>
      </c>
      <c r="Q131" s="10">
        <f t="shared" si="79"/>
        <v>115287</v>
      </c>
      <c r="R131" s="10">
        <f t="shared" si="79"/>
        <v>16848</v>
      </c>
      <c r="S131" s="10">
        <f>S136-SUM(S132:S135)</f>
        <v>22324</v>
      </c>
      <c r="T131" s="10">
        <f t="shared" si="79"/>
        <v>11106</v>
      </c>
      <c r="U131" s="10">
        <f t="shared" si="79"/>
        <v>26107</v>
      </c>
      <c r="V131" s="10">
        <f t="shared" si="79"/>
        <v>76385</v>
      </c>
      <c r="W131" s="10">
        <f t="shared" si="79"/>
        <v>30179</v>
      </c>
      <c r="X131" s="10">
        <f t="shared" si="79"/>
        <v>13613</v>
      </c>
      <c r="Y131" s="10">
        <f t="shared" si="79"/>
        <v>24666</v>
      </c>
      <c r="Z131" s="10">
        <f t="shared" si="79"/>
        <v>21035</v>
      </c>
      <c r="AA131" s="10">
        <f t="shared" si="79"/>
        <v>89493</v>
      </c>
      <c r="AB131" s="10">
        <f t="shared" si="79"/>
        <v>30860</v>
      </c>
      <c r="AC131" s="10">
        <f t="shared" si="79"/>
        <v>18901</v>
      </c>
      <c r="AD131" s="10">
        <f t="shared" si="79"/>
        <v>27126</v>
      </c>
      <c r="AF131">
        <f>AD131+AC131+AB131+Z131</f>
        <v>97922</v>
      </c>
    </row>
    <row r="132" spans="1:32" x14ac:dyDescent="0.2">
      <c r="B132" t="s">
        <v>91</v>
      </c>
      <c r="C132">
        <f>C106</f>
        <v>-3130</v>
      </c>
      <c r="D132">
        <f>D106</f>
        <v>-3004</v>
      </c>
      <c r="E132">
        <f>E106</f>
        <v>-3365</v>
      </c>
      <c r="F132">
        <f>F106</f>
        <v>-3270</v>
      </c>
      <c r="G132">
        <f>G106</f>
        <v>-12769</v>
      </c>
      <c r="H132">
        <f>H106</f>
        <v>-3339</v>
      </c>
      <c r="I132">
        <f>I106</f>
        <v>-3190</v>
      </c>
      <c r="J132">
        <f>J106</f>
        <v>-3653</v>
      </c>
      <c r="K132">
        <f>K106</f>
        <v>-3530</v>
      </c>
      <c r="L132">
        <f>L106</f>
        <v>-13712</v>
      </c>
      <c r="M132">
        <f>M106</f>
        <v>-3568</v>
      </c>
      <c r="N132">
        <f>N106</f>
        <v>-3443</v>
      </c>
      <c r="O132">
        <f>O106</f>
        <v>-3629</v>
      </c>
      <c r="P132">
        <f>P106</f>
        <v>-3479</v>
      </c>
      <c r="Q132">
        <f>Q106</f>
        <v>-14119</v>
      </c>
      <c r="R132">
        <f>R106</f>
        <v>-3539</v>
      </c>
      <c r="S132">
        <f>S106</f>
        <v>-3375</v>
      </c>
      <c r="T132">
        <f>T106</f>
        <v>-3656</v>
      </c>
      <c r="U132">
        <f>U106</f>
        <v>-3511</v>
      </c>
      <c r="V132">
        <f>V106</f>
        <v>-14081</v>
      </c>
      <c r="W132">
        <f>W106</f>
        <v>-3613</v>
      </c>
      <c r="X132">
        <f>X106</f>
        <v>-3447</v>
      </c>
      <c r="Y132">
        <f>Y106</f>
        <v>-3767</v>
      </c>
      <c r="Z132">
        <f>Z106</f>
        <v>-3640</v>
      </c>
      <c r="AA132">
        <f>AA106</f>
        <v>-14467</v>
      </c>
      <c r="AB132">
        <f>AB106</f>
        <v>-3732</v>
      </c>
      <c r="AC132">
        <f>AC106</f>
        <v>-3595</v>
      </c>
      <c r="AD132">
        <f>AD106</f>
        <v>-3811</v>
      </c>
      <c r="AF132">
        <f>AD132+AC132+AB132+Z132</f>
        <v>-14778</v>
      </c>
    </row>
    <row r="133" spans="1:32" x14ac:dyDescent="0.2">
      <c r="B133" t="s">
        <v>92</v>
      </c>
      <c r="C133">
        <f>C107</f>
        <v>-11302</v>
      </c>
      <c r="D133">
        <f>D107</f>
        <v>-7000</v>
      </c>
      <c r="E133">
        <f>E107</f>
        <v>-7641</v>
      </c>
      <c r="F133">
        <f>F107</f>
        <v>-7649</v>
      </c>
      <c r="G133">
        <f>G107</f>
        <v>-33592</v>
      </c>
      <c r="H133">
        <f>H107</f>
        <v>-11133</v>
      </c>
      <c r="I133">
        <f>I107</f>
        <v>-22581</v>
      </c>
      <c r="J133">
        <f>J107</f>
        <v>-21859</v>
      </c>
      <c r="K133">
        <f>K107</f>
        <v>-19023</v>
      </c>
      <c r="L133">
        <f>L107</f>
        <v>-74596</v>
      </c>
      <c r="M133">
        <f>M107</f>
        <v>-10114</v>
      </c>
      <c r="N133">
        <f>N107</f>
        <v>-23421</v>
      </c>
      <c r="O133">
        <f>O107</f>
        <v>-18153</v>
      </c>
      <c r="P133">
        <f>P107</f>
        <v>-17245</v>
      </c>
      <c r="Q133">
        <f>Q107</f>
        <v>-68933</v>
      </c>
      <c r="R133">
        <f>R107</f>
        <v>-22083</v>
      </c>
      <c r="S133">
        <f>S107</f>
        <v>-15777</v>
      </c>
      <c r="T133">
        <f>T107</f>
        <v>-14950</v>
      </c>
      <c r="U133">
        <f>U107</f>
        <v>-22302</v>
      </c>
      <c r="V133">
        <f>V107</f>
        <v>-75112</v>
      </c>
      <c r="W133">
        <f>W107</f>
        <v>-27636</v>
      </c>
      <c r="X133">
        <f>X107</f>
        <v>-18286</v>
      </c>
      <c r="Y133">
        <f>Y107</f>
        <v>-25595</v>
      </c>
      <c r="Z133">
        <f>Z107</f>
        <v>-19905</v>
      </c>
      <c r="AA133">
        <f>AA107</f>
        <v>-91422</v>
      </c>
      <c r="AB133">
        <f>AB107</f>
        <v>-23366</v>
      </c>
      <c r="AC133">
        <f>AC107</f>
        <v>-22961</v>
      </c>
      <c r="AD133">
        <f>AD107</f>
        <v>-24562</v>
      </c>
      <c r="AF133">
        <f>AD133+AC133+AB133+Z133</f>
        <v>-90794</v>
      </c>
    </row>
    <row r="134" spans="1:32" s="9" customFormat="1" x14ac:dyDescent="0.2">
      <c r="A134"/>
      <c r="B134" t="s">
        <v>93</v>
      </c>
      <c r="C134">
        <f>SUM(C104:C105)</f>
        <v>2385</v>
      </c>
      <c r="D134">
        <f>SUM(D104:D105)</f>
        <v>10469</v>
      </c>
      <c r="E134">
        <f>SUM(E104:E105)</f>
        <v>9237</v>
      </c>
      <c r="F134">
        <f>SUM(F104:F105)</f>
        <v>6923</v>
      </c>
      <c r="G134">
        <f>SUM(G104:G105)</f>
        <v>29014</v>
      </c>
      <c r="H134">
        <f>SUM(H104:H105)</f>
        <v>6971</v>
      </c>
      <c r="I134">
        <f>SUM(I104:I105)</f>
        <v>-501</v>
      </c>
      <c r="J134">
        <f>SUM(J104:J105)</f>
        <v>-6011</v>
      </c>
      <c r="K134">
        <f>SUM(K104:K105)</f>
        <v>-27</v>
      </c>
      <c r="L134">
        <f>SUM(L104:L105)</f>
        <v>432</v>
      </c>
      <c r="M134">
        <f>SUM(M104:M105)</f>
        <v>6</v>
      </c>
      <c r="N134">
        <f>SUM(N104:N105)</f>
        <v>-2506</v>
      </c>
      <c r="O134">
        <f>SUM(O104:O105)</f>
        <v>-5026</v>
      </c>
      <c r="P134">
        <f>SUM(P104:P105)</f>
        <v>-293</v>
      </c>
      <c r="Q134">
        <f>SUM(Q104:Q105)</f>
        <v>-7819</v>
      </c>
      <c r="R134">
        <f>SUM(R104:R105)</f>
        <v>231</v>
      </c>
      <c r="S134">
        <f>SUM(S104:S105)</f>
        <v>-1753</v>
      </c>
      <c r="T134">
        <f>SUM(T104:T105)</f>
        <v>-441</v>
      </c>
      <c r="U134">
        <f>SUM(U104:U105)</f>
        <v>4462</v>
      </c>
      <c r="V134">
        <f>SUM(V104:V105)</f>
        <v>2499</v>
      </c>
      <c r="W134">
        <f>SUM(W104:W105)</f>
        <v>-978</v>
      </c>
      <c r="X134">
        <f>SUM(X104:X105)</f>
        <v>10423</v>
      </c>
      <c r="Y134">
        <f>SUM(Y104:Y105)</f>
        <v>0</v>
      </c>
      <c r="Z134">
        <f>SUM(Z104:Z105)</f>
        <v>3220</v>
      </c>
      <c r="AA134">
        <f>SUM(AA104:AA105)</f>
        <v>12665</v>
      </c>
      <c r="AB134">
        <f>SUM(AB104:AB105)</f>
        <v>-1000</v>
      </c>
      <c r="AC134">
        <f>SUM(AC104:AC105)</f>
        <v>-1751</v>
      </c>
      <c r="AD134">
        <f>SUM(AD104:AD105)</f>
        <v>971</v>
      </c>
      <c r="AF134">
        <f>AD134+AC134+AB134+Z134</f>
        <v>1440</v>
      </c>
    </row>
    <row r="135" spans="1:32" s="10" customFormat="1" x14ac:dyDescent="0.2">
      <c r="A135" s="9"/>
      <c r="B135" s="9" t="s">
        <v>114</v>
      </c>
      <c r="C135" s="9">
        <f>C108</f>
        <v>0</v>
      </c>
      <c r="D135" s="9">
        <f>D108</f>
        <v>0</v>
      </c>
      <c r="E135" s="9">
        <f>E108</f>
        <v>0</v>
      </c>
      <c r="F135" s="9">
        <f>F108</f>
        <v>0</v>
      </c>
      <c r="G135" s="9">
        <f>G108</f>
        <v>0</v>
      </c>
      <c r="H135" s="9">
        <f>H108</f>
        <v>0</v>
      </c>
      <c r="I135" s="9">
        <f>I108</f>
        <v>0</v>
      </c>
      <c r="J135" s="9">
        <f>J108</f>
        <v>0</v>
      </c>
      <c r="K135" s="9">
        <f>K108</f>
        <v>0</v>
      </c>
      <c r="L135" s="9">
        <f>L108</f>
        <v>0</v>
      </c>
      <c r="M135" s="9">
        <f>M108</f>
        <v>0</v>
      </c>
      <c r="N135" s="9">
        <f>N108</f>
        <v>-87</v>
      </c>
      <c r="O135" s="9">
        <f>O108</f>
        <v>4</v>
      </c>
      <c r="P135" s="9">
        <f>P108</f>
        <v>-22</v>
      </c>
      <c r="Q135" s="9">
        <f>Q108</f>
        <v>-105</v>
      </c>
      <c r="R135" s="9">
        <f>R108</f>
        <v>-16</v>
      </c>
      <c r="S135" s="9">
        <f>S108</f>
        <v>-35</v>
      </c>
      <c r="T135" s="9">
        <f>T108</f>
        <v>-69</v>
      </c>
      <c r="U135" s="9">
        <f>U108</f>
        <v>-6</v>
      </c>
      <c r="V135" s="9">
        <f>V108</f>
        <v>-126</v>
      </c>
      <c r="W135" s="9">
        <f>W108</f>
        <v>-22</v>
      </c>
      <c r="X135" s="9">
        <f>X108</f>
        <v>-16</v>
      </c>
      <c r="Y135" s="9">
        <f>Y108</f>
        <v>-34</v>
      </c>
      <c r="Z135" s="9">
        <f>Z108</f>
        <v>-57</v>
      </c>
      <c r="AA135" s="9">
        <f>AA108</f>
        <v>-129</v>
      </c>
      <c r="AB135" s="9">
        <f>AB108</f>
        <v>-61</v>
      </c>
      <c r="AC135" s="9">
        <f>AC108</f>
        <v>-44</v>
      </c>
      <c r="AD135" s="9">
        <f>AD108</f>
        <v>-43</v>
      </c>
      <c r="AF135" s="10">
        <f>AD135+AC135+AB135+Z135</f>
        <v>-205</v>
      </c>
    </row>
    <row r="136" spans="1:32" x14ac:dyDescent="0.2">
      <c r="A136" s="10"/>
      <c r="B136" s="10" t="s">
        <v>151</v>
      </c>
      <c r="C136" s="10">
        <v>-4113</v>
      </c>
      <c r="D136" s="10">
        <v>-1214</v>
      </c>
      <c r="E136" s="10">
        <v>3414</v>
      </c>
      <c r="F136" s="10">
        <v>1718</v>
      </c>
      <c r="G136" s="10">
        <v>-195</v>
      </c>
      <c r="H136" s="10">
        <v>7202</v>
      </c>
      <c r="I136" s="10">
        <v>17568</v>
      </c>
      <c r="J136" s="10">
        <v>-13088</v>
      </c>
      <c r="K136" s="10">
        <v>-6058</v>
      </c>
      <c r="L136" s="10">
        <v>5624</v>
      </c>
      <c r="M136" s="10">
        <v>18858</v>
      </c>
      <c r="N136" s="10">
        <v>-4954</v>
      </c>
      <c r="O136" s="10">
        <v>12334</v>
      </c>
      <c r="P136" s="10">
        <v>-1927</v>
      </c>
      <c r="Q136" s="10">
        <v>24311</v>
      </c>
      <c r="R136" s="10">
        <v>-8559</v>
      </c>
      <c r="S136" s="10">
        <v>1384</v>
      </c>
      <c r="T136" s="10">
        <v>-8010</v>
      </c>
      <c r="U136" s="10">
        <v>4750</v>
      </c>
      <c r="V136" s="10">
        <v>-10435</v>
      </c>
      <c r="W136" s="10">
        <v>-2070</v>
      </c>
      <c r="X136" s="10">
        <v>2287</v>
      </c>
      <c r="Y136" s="10">
        <v>-4730</v>
      </c>
      <c r="Z136" s="10">
        <v>653</v>
      </c>
      <c r="AA136" s="10">
        <v>-3860</v>
      </c>
      <c r="AB136" s="10">
        <v>2701</v>
      </c>
      <c r="AC136" s="10">
        <v>-9450</v>
      </c>
      <c r="AD136" s="10">
        <v>-319</v>
      </c>
    </row>
    <row r="142" spans="1:32" s="20" customFormat="1" x14ac:dyDescent="0.2">
      <c r="B142" s="19" t="s">
        <v>115</v>
      </c>
      <c r="C142" s="19" t="s">
        <v>136</v>
      </c>
      <c r="D142" s="19" t="s">
        <v>137</v>
      </c>
      <c r="E142" s="19" t="s">
        <v>138</v>
      </c>
      <c r="F142" s="19"/>
      <c r="G142" s="19"/>
      <c r="H142" s="19"/>
      <c r="I142" s="21"/>
      <c r="J142" s="21"/>
      <c r="AF142"/>
    </row>
    <row r="143" spans="1:32" s="20" customFormat="1" x14ac:dyDescent="0.2">
      <c r="B143" s="19" t="s">
        <v>116</v>
      </c>
      <c r="C143" s="23" t="s">
        <v>117</v>
      </c>
      <c r="D143" s="24">
        <v>1750</v>
      </c>
      <c r="E143" s="23" t="s">
        <v>118</v>
      </c>
      <c r="F143" s="19"/>
      <c r="G143" s="19"/>
      <c r="I143" s="21"/>
      <c r="J143" s="21"/>
      <c r="K143" s="19"/>
      <c r="L143" s="19"/>
      <c r="M143" s="19"/>
      <c r="N143" s="19"/>
      <c r="AF143"/>
    </row>
    <row r="144" spans="1:32" s="20" customFormat="1" x14ac:dyDescent="0.2">
      <c r="B144" s="19" t="s">
        <v>119</v>
      </c>
      <c r="C144" s="23" t="s">
        <v>120</v>
      </c>
      <c r="D144" s="24">
        <v>95813</v>
      </c>
      <c r="E144" s="23" t="s">
        <v>121</v>
      </c>
      <c r="F144" s="19"/>
      <c r="G144" s="19"/>
      <c r="H144" s="19"/>
      <c r="I144" s="21"/>
      <c r="J144" s="21"/>
      <c r="K144" s="19"/>
      <c r="L144" s="19"/>
      <c r="AF144"/>
    </row>
    <row r="145" spans="2:32" s="20" customFormat="1" x14ac:dyDescent="0.2">
      <c r="B145" s="19"/>
      <c r="C145" s="23"/>
      <c r="D145" s="25"/>
      <c r="E145" s="23"/>
      <c r="F145" s="19"/>
      <c r="G145" s="19"/>
      <c r="H145" s="19"/>
      <c r="I145" s="21"/>
      <c r="J145" s="21"/>
      <c r="AF145"/>
    </row>
    <row r="146" spans="2:32" s="20" customFormat="1" x14ac:dyDescent="0.2">
      <c r="B146" s="19" t="s">
        <v>122</v>
      </c>
      <c r="C146" s="23"/>
      <c r="D146" s="25"/>
      <c r="E146" s="23"/>
      <c r="F146" s="19"/>
      <c r="G146" s="19"/>
      <c r="H146" s="19"/>
      <c r="I146" s="21"/>
      <c r="J146" s="21"/>
      <c r="AF146"/>
    </row>
    <row r="147" spans="2:32" s="20" customFormat="1" x14ac:dyDescent="0.2">
      <c r="B147" s="19" t="s">
        <v>123</v>
      </c>
      <c r="C147" s="23" t="s">
        <v>124</v>
      </c>
      <c r="D147" s="25">
        <v>14000</v>
      </c>
      <c r="E147" s="23" t="s">
        <v>125</v>
      </c>
      <c r="F147" s="19"/>
      <c r="G147" s="19"/>
      <c r="H147" s="19"/>
      <c r="I147" s="21"/>
      <c r="J147" s="21"/>
      <c r="K147" s="19"/>
      <c r="L147" s="19"/>
      <c r="M147" s="19"/>
      <c r="AF147"/>
    </row>
    <row r="148" spans="2:32" s="20" customFormat="1" x14ac:dyDescent="0.2">
      <c r="B148" s="19"/>
      <c r="C148" s="23"/>
      <c r="D148" s="25"/>
      <c r="E148" s="23"/>
      <c r="F148" s="19"/>
      <c r="G148" s="19"/>
      <c r="H148" s="21"/>
      <c r="I148" s="21"/>
      <c r="J148" s="21"/>
      <c r="AF148"/>
    </row>
    <row r="149" spans="2:32" s="20" customFormat="1" x14ac:dyDescent="0.2">
      <c r="B149" s="19" t="s">
        <v>126</v>
      </c>
      <c r="C149" s="23"/>
      <c r="D149" s="25"/>
      <c r="E149" s="23"/>
      <c r="F149" s="19"/>
      <c r="G149" s="19"/>
      <c r="H149" s="19"/>
      <c r="I149" s="22"/>
      <c r="J149" s="19"/>
      <c r="AF149"/>
    </row>
    <row r="150" spans="2:32" s="20" customFormat="1" x14ac:dyDescent="0.2">
      <c r="B150" s="19" t="s">
        <v>127</v>
      </c>
      <c r="C150" s="23" t="s">
        <v>128</v>
      </c>
      <c r="D150" s="25">
        <v>6500</v>
      </c>
      <c r="E150" s="23" t="s">
        <v>129</v>
      </c>
      <c r="F150" s="19"/>
      <c r="G150" s="19"/>
      <c r="H150" s="19"/>
      <c r="I150" s="22"/>
      <c r="J150" s="19"/>
      <c r="K150" s="19"/>
      <c r="L150" s="19"/>
      <c r="M150" s="19"/>
      <c r="AF150"/>
    </row>
    <row r="151" spans="2:32" s="20" customFormat="1" x14ac:dyDescent="0.2">
      <c r="B151" s="19" t="s">
        <v>130</v>
      </c>
      <c r="C151" s="23"/>
      <c r="D151" s="24">
        <f>SUM(D143:D150)</f>
        <v>118063</v>
      </c>
      <c r="E151" s="23"/>
      <c r="F151" s="19"/>
      <c r="G151" s="19"/>
      <c r="H151" s="19"/>
      <c r="I151" s="22"/>
      <c r="J151" s="19"/>
      <c r="K151" s="19"/>
      <c r="L151" s="19"/>
      <c r="AF151"/>
    </row>
    <row r="152" spans="2:32" s="20" customFormat="1" x14ac:dyDescent="0.2">
      <c r="B152" s="19"/>
      <c r="C152" s="23"/>
      <c r="D152" s="24"/>
      <c r="E152" s="23"/>
      <c r="F152" s="19"/>
      <c r="G152" s="19"/>
      <c r="H152" s="19"/>
      <c r="I152" s="22"/>
      <c r="J152" s="19"/>
      <c r="K152" s="19"/>
      <c r="L152" s="19"/>
      <c r="AF152"/>
    </row>
    <row r="153" spans="2:32" s="20" customFormat="1" x14ac:dyDescent="0.2">
      <c r="B153" s="19"/>
      <c r="C153" s="23"/>
      <c r="D153" s="24"/>
      <c r="E153" s="23"/>
      <c r="F153" s="19"/>
      <c r="G153" s="19"/>
      <c r="H153" s="19"/>
      <c r="I153" s="22"/>
      <c r="J153" s="19"/>
      <c r="K153" s="19"/>
      <c r="L153" s="19"/>
      <c r="AF153"/>
    </row>
    <row r="155" spans="2:32" x14ac:dyDescent="0.2">
      <c r="B155" t="s">
        <v>144</v>
      </c>
      <c r="C155">
        <v>5327995</v>
      </c>
      <c r="D155">
        <v>5261688</v>
      </c>
      <c r="E155">
        <v>5233499</v>
      </c>
      <c r="F155">
        <v>5251692</v>
      </c>
      <c r="G155">
        <v>5251692</v>
      </c>
      <c r="H155">
        <v>5157787</v>
      </c>
      <c r="I155">
        <v>5068493</v>
      </c>
      <c r="J155">
        <v>4926609</v>
      </c>
      <c r="K155">
        <v>5000109</v>
      </c>
      <c r="L155">
        <v>5000109</v>
      </c>
      <c r="M155">
        <v>4773252</v>
      </c>
      <c r="N155">
        <v>4700646</v>
      </c>
      <c r="O155">
        <v>4601380</v>
      </c>
      <c r="P155">
        <v>4648913</v>
      </c>
      <c r="Q155">
        <v>4648913</v>
      </c>
      <c r="R155">
        <v>4454604</v>
      </c>
      <c r="S155">
        <v>4404691</v>
      </c>
      <c r="T155">
        <v>4354788</v>
      </c>
      <c r="U155">
        <v>17528214</v>
      </c>
      <c r="V155">
        <v>17528214</v>
      </c>
      <c r="W155">
        <v>17113688</v>
      </c>
      <c r="X155">
        <v>16929157</v>
      </c>
      <c r="Y155">
        <v>16781735</v>
      </c>
      <c r="Z155">
        <v>16864919</v>
      </c>
      <c r="AA155">
        <v>16864919</v>
      </c>
      <c r="AB155">
        <v>16519291</v>
      </c>
      <c r="AC155">
        <v>16403316</v>
      </c>
      <c r="AD155">
        <v>16262203</v>
      </c>
    </row>
    <row r="156" spans="2:32" s="29" customFormat="1" x14ac:dyDescent="0.2">
      <c r="B156" s="29" t="s">
        <v>145</v>
      </c>
      <c r="C156" s="29">
        <v>28.219999313354489</v>
      </c>
      <c r="D156" s="29">
        <v>42.642501831054688</v>
      </c>
      <c r="E156" s="29">
        <v>35.220001220703118</v>
      </c>
      <c r="F156" s="29">
        <v>36.455001831054688</v>
      </c>
      <c r="G156" s="29">
        <v>37.637500762939453</v>
      </c>
      <c r="H156" s="29">
        <v>37.637500762939453</v>
      </c>
      <c r="I156" s="29">
        <v>39.292499542236328</v>
      </c>
      <c r="J156" s="29">
        <v>43.192501068115227</v>
      </c>
      <c r="K156" s="29">
        <v>45.542499542236328</v>
      </c>
      <c r="L156" s="29">
        <v>55.197498321533203</v>
      </c>
      <c r="M156" s="29">
        <v>55.197498321533203</v>
      </c>
      <c r="N156" s="29">
        <v>72.477500915527344</v>
      </c>
      <c r="O156" s="29">
        <v>47.185001373291023</v>
      </c>
      <c r="P156" s="29">
        <v>49.645000457763672</v>
      </c>
      <c r="Q156" s="29">
        <v>54.419998168945312</v>
      </c>
      <c r="R156" s="29">
        <v>54.419998168945312</v>
      </c>
      <c r="S156" s="29">
        <v>136.69000244140619</v>
      </c>
      <c r="T156" s="29">
        <v>61.380001068115227</v>
      </c>
      <c r="U156" s="29">
        <v>90.014999389648438</v>
      </c>
      <c r="V156" s="29">
        <v>108.2200012207031</v>
      </c>
      <c r="W156" s="29">
        <v>108.2200012207031</v>
      </c>
      <c r="X156" s="29">
        <v>180.33000183105469</v>
      </c>
      <c r="Y156" s="29">
        <v>120.5899963378906</v>
      </c>
      <c r="Z156" s="29">
        <v>133.4100036621094</v>
      </c>
      <c r="AA156" s="29">
        <v>146.91999816894531</v>
      </c>
      <c r="AB156" s="29">
        <v>146.91999816894531</v>
      </c>
      <c r="AC156" s="29">
        <v>174.7200012207031</v>
      </c>
      <c r="AD156" s="29">
        <v>141.6600036621094</v>
      </c>
    </row>
    <row r="158" spans="2:32" x14ac:dyDescent="0.2">
      <c r="B158" t="s">
        <v>290</v>
      </c>
      <c r="C158">
        <f>C185</f>
        <v>16371</v>
      </c>
      <c r="D158">
        <f t="shared" ref="D158:AD158" si="80">D185</f>
        <v>15157</v>
      </c>
      <c r="E158">
        <f>E185</f>
        <v>18571</v>
      </c>
      <c r="F158">
        <f t="shared" si="80"/>
        <v>20289</v>
      </c>
      <c r="G158">
        <f t="shared" si="80"/>
        <v>20289</v>
      </c>
      <c r="H158">
        <f t="shared" si="80"/>
        <v>27491</v>
      </c>
      <c r="I158">
        <f t="shared" si="80"/>
        <v>45059</v>
      </c>
      <c r="J158">
        <f t="shared" si="80"/>
        <v>31971</v>
      </c>
      <c r="K158">
        <f t="shared" si="80"/>
        <v>25913</v>
      </c>
      <c r="L158">
        <f t="shared" si="80"/>
        <v>25913</v>
      </c>
      <c r="M158">
        <f t="shared" si="80"/>
        <v>44771</v>
      </c>
      <c r="N158">
        <f t="shared" si="80"/>
        <v>37988</v>
      </c>
      <c r="O158">
        <f t="shared" si="80"/>
        <v>50530</v>
      </c>
      <c r="P158">
        <f t="shared" si="80"/>
        <v>48844</v>
      </c>
      <c r="Q158">
        <f t="shared" si="80"/>
        <v>48844</v>
      </c>
      <c r="R158">
        <f t="shared" si="80"/>
        <v>39771</v>
      </c>
      <c r="S158">
        <f t="shared" si="80"/>
        <v>40174</v>
      </c>
      <c r="T158">
        <f t="shared" si="80"/>
        <v>33383</v>
      </c>
      <c r="U158">
        <f t="shared" si="80"/>
        <v>38016</v>
      </c>
      <c r="V158">
        <f t="shared" si="80"/>
        <v>38016</v>
      </c>
      <c r="W158">
        <f t="shared" si="80"/>
        <v>36010</v>
      </c>
      <c r="X158">
        <f t="shared" si="80"/>
        <v>38466</v>
      </c>
      <c r="Y158">
        <f t="shared" si="80"/>
        <v>34050</v>
      </c>
      <c r="Z158">
        <f t="shared" si="80"/>
        <v>34940</v>
      </c>
      <c r="AA158">
        <f t="shared" si="80"/>
        <v>34940</v>
      </c>
      <c r="AB158">
        <f t="shared" si="80"/>
        <v>37119</v>
      </c>
      <c r="AC158">
        <f t="shared" si="80"/>
        <v>28098</v>
      </c>
      <c r="AD158">
        <f t="shared" si="80"/>
        <v>27502</v>
      </c>
    </row>
    <row r="159" spans="2:32" x14ac:dyDescent="0.2">
      <c r="B159" t="s">
        <v>113</v>
      </c>
      <c r="C159">
        <f>C184</f>
        <v>229719</v>
      </c>
      <c r="D159">
        <f t="shared" ref="D159:AD159" si="81">D184</f>
        <v>241684</v>
      </c>
      <c r="E159">
        <f>E184</f>
        <v>242945</v>
      </c>
      <c r="F159">
        <f t="shared" si="81"/>
        <v>248606</v>
      </c>
      <c r="G159">
        <f t="shared" si="81"/>
        <v>248606</v>
      </c>
      <c r="H159">
        <f t="shared" si="81"/>
        <v>257606</v>
      </c>
      <c r="I159">
        <f t="shared" si="81"/>
        <v>222167</v>
      </c>
      <c r="J159">
        <f t="shared" si="81"/>
        <v>211772</v>
      </c>
      <c r="K159">
        <f t="shared" si="81"/>
        <v>211187</v>
      </c>
      <c r="L159">
        <f t="shared" si="81"/>
        <v>211187</v>
      </c>
      <c r="M159">
        <f t="shared" si="81"/>
        <v>200264</v>
      </c>
      <c r="N159">
        <f t="shared" si="81"/>
        <v>187423</v>
      </c>
      <c r="O159">
        <f t="shared" si="81"/>
        <v>160080</v>
      </c>
      <c r="P159">
        <f t="shared" si="81"/>
        <v>157054</v>
      </c>
      <c r="Q159">
        <f t="shared" si="81"/>
        <v>157054</v>
      </c>
      <c r="R159">
        <f t="shared" si="81"/>
        <v>167290</v>
      </c>
      <c r="S159">
        <f t="shared" si="81"/>
        <v>152670</v>
      </c>
      <c r="T159">
        <f t="shared" si="81"/>
        <v>160234</v>
      </c>
      <c r="U159">
        <f t="shared" si="81"/>
        <v>153814</v>
      </c>
      <c r="V159">
        <f t="shared" si="81"/>
        <v>153814</v>
      </c>
      <c r="W159">
        <f t="shared" si="81"/>
        <v>159561</v>
      </c>
      <c r="X159">
        <f t="shared" si="81"/>
        <v>165907</v>
      </c>
      <c r="Y159">
        <f t="shared" si="81"/>
        <v>159594</v>
      </c>
      <c r="Z159">
        <f t="shared" si="81"/>
        <v>155576</v>
      </c>
      <c r="AA159">
        <f t="shared" si="81"/>
        <v>155576</v>
      </c>
      <c r="AB159">
        <f t="shared" si="81"/>
        <v>165477</v>
      </c>
      <c r="AC159">
        <f t="shared" si="81"/>
        <v>164632</v>
      </c>
      <c r="AD159">
        <f t="shared" si="81"/>
        <v>151806</v>
      </c>
    </row>
    <row r="160" spans="2:32" s="10" customFormat="1" x14ac:dyDescent="0.2">
      <c r="B160" s="10" t="s">
        <v>289</v>
      </c>
      <c r="C160" s="10">
        <f>SUM(C158:C159)</f>
        <v>246090</v>
      </c>
      <c r="D160" s="10">
        <f t="shared" ref="D160:AD160" si="82">SUM(D158:D159)</f>
        <v>256841</v>
      </c>
      <c r="E160" s="10">
        <f>SUM(E158:E159)</f>
        <v>261516</v>
      </c>
      <c r="F160" s="10">
        <f t="shared" si="82"/>
        <v>268895</v>
      </c>
      <c r="G160" s="10">
        <f t="shared" si="82"/>
        <v>268895</v>
      </c>
      <c r="H160" s="10">
        <f t="shared" si="82"/>
        <v>285097</v>
      </c>
      <c r="I160" s="10">
        <f t="shared" si="82"/>
        <v>267226</v>
      </c>
      <c r="J160" s="10">
        <f t="shared" si="82"/>
        <v>243743</v>
      </c>
      <c r="K160" s="10">
        <f t="shared" si="82"/>
        <v>237100</v>
      </c>
      <c r="L160" s="10">
        <f t="shared" si="82"/>
        <v>237100</v>
      </c>
      <c r="M160" s="10">
        <f t="shared" si="82"/>
        <v>245035</v>
      </c>
      <c r="N160" s="10">
        <f t="shared" si="82"/>
        <v>225411</v>
      </c>
      <c r="O160" s="10">
        <f t="shared" si="82"/>
        <v>210610</v>
      </c>
      <c r="P160" s="10">
        <f t="shared" si="82"/>
        <v>205898</v>
      </c>
      <c r="Q160" s="10">
        <f t="shared" si="82"/>
        <v>205898</v>
      </c>
      <c r="R160" s="10">
        <f t="shared" si="82"/>
        <v>207061</v>
      </c>
      <c r="S160" s="10">
        <f t="shared" si="82"/>
        <v>192844</v>
      </c>
      <c r="T160" s="10">
        <f t="shared" si="82"/>
        <v>193617</v>
      </c>
      <c r="U160" s="10">
        <f t="shared" si="82"/>
        <v>191830</v>
      </c>
      <c r="V160" s="10">
        <f t="shared" si="82"/>
        <v>191830</v>
      </c>
      <c r="W160" s="10">
        <f t="shared" si="82"/>
        <v>195571</v>
      </c>
      <c r="X160" s="10">
        <f t="shared" si="82"/>
        <v>204373</v>
      </c>
      <c r="Y160" s="10">
        <f t="shared" si="82"/>
        <v>193644</v>
      </c>
      <c r="Z160" s="10">
        <f t="shared" si="82"/>
        <v>190516</v>
      </c>
      <c r="AA160" s="10">
        <f t="shared" si="82"/>
        <v>190516</v>
      </c>
      <c r="AB160" s="10">
        <f t="shared" si="82"/>
        <v>202596</v>
      </c>
      <c r="AC160" s="10">
        <f t="shared" si="82"/>
        <v>192730</v>
      </c>
      <c r="AD160" s="10">
        <f t="shared" si="82"/>
        <v>179308</v>
      </c>
    </row>
    <row r="161" spans="2:32" s="9" customFormat="1" x14ac:dyDescent="0.2"/>
    <row r="162" spans="2:32" x14ac:dyDescent="0.2">
      <c r="B162" t="s">
        <v>130</v>
      </c>
      <c r="C162">
        <v>77378</v>
      </c>
      <c r="D162">
        <v>88919</v>
      </c>
      <c r="E162">
        <v>96589</v>
      </c>
      <c r="F162" s="101">
        <v>104021</v>
      </c>
      <c r="G162" s="101">
        <v>104021</v>
      </c>
      <c r="H162">
        <v>111033</v>
      </c>
      <c r="I162">
        <v>111137</v>
      </c>
      <c r="J162">
        <v>104124</v>
      </c>
      <c r="K162">
        <v>104193</v>
      </c>
      <c r="L162">
        <v>104193</v>
      </c>
      <c r="M162">
        <v>103770</v>
      </c>
      <c r="N162">
        <v>101242</v>
      </c>
      <c r="O162">
        <v>98322</v>
      </c>
      <c r="P162">
        <v>101679</v>
      </c>
      <c r="Q162">
        <v>101679</v>
      </c>
      <c r="R162">
        <v>103086</v>
      </c>
      <c r="S162">
        <v>97968</v>
      </c>
      <c r="T162">
        <v>100065</v>
      </c>
      <c r="U162">
        <v>106078</v>
      </c>
      <c r="V162">
        <v>106078</v>
      </c>
      <c r="W162">
        <v>105863</v>
      </c>
      <c r="X162">
        <v>116005</v>
      </c>
      <c r="Y162">
        <v>113193</v>
      </c>
      <c r="Z162">
        <v>118063</v>
      </c>
      <c r="AA162">
        <v>118063</v>
      </c>
      <c r="AB162" t="s">
        <v>357</v>
      </c>
      <c r="AC162" t="s">
        <v>357</v>
      </c>
      <c r="AD162" t="s">
        <v>357</v>
      </c>
    </row>
    <row r="163" spans="2:32" x14ac:dyDescent="0.2">
      <c r="B163" t="s">
        <v>199</v>
      </c>
      <c r="C163">
        <v>10493</v>
      </c>
      <c r="D163">
        <v>9992</v>
      </c>
      <c r="E163">
        <v>11980</v>
      </c>
      <c r="F163">
        <v>11977</v>
      </c>
      <c r="G163">
        <v>11977</v>
      </c>
      <c r="H163">
        <v>11980</v>
      </c>
      <c r="I163">
        <v>11980</v>
      </c>
      <c r="J163">
        <v>11974</v>
      </c>
      <c r="K163">
        <v>11964</v>
      </c>
      <c r="L163">
        <v>11964</v>
      </c>
      <c r="M163">
        <v>11969</v>
      </c>
      <c r="N163">
        <v>11924</v>
      </c>
      <c r="O163">
        <v>9953</v>
      </c>
      <c r="P163">
        <v>5980</v>
      </c>
      <c r="Q163">
        <v>5980</v>
      </c>
      <c r="R163">
        <v>4990</v>
      </c>
      <c r="S163">
        <v>10029</v>
      </c>
      <c r="T163">
        <v>11166</v>
      </c>
      <c r="U163">
        <v>4996</v>
      </c>
      <c r="V163">
        <v>4996</v>
      </c>
      <c r="W163">
        <v>5000</v>
      </c>
      <c r="X163">
        <v>5000</v>
      </c>
      <c r="Y163">
        <v>8000</v>
      </c>
      <c r="Z163">
        <v>6000</v>
      </c>
      <c r="AA163">
        <v>6000</v>
      </c>
      <c r="AB163">
        <v>5000</v>
      </c>
      <c r="AC163">
        <v>6999</v>
      </c>
      <c r="AD163">
        <v>10982</v>
      </c>
    </row>
    <row r="164" spans="2:32" s="10" customFormat="1" x14ac:dyDescent="0.2">
      <c r="B164" s="10" t="s">
        <v>356</v>
      </c>
      <c r="C164" s="10">
        <f t="shared" ref="C164:Y164" si="83">SUM(C162:C163)</f>
        <v>87871</v>
      </c>
      <c r="D164" s="10">
        <f t="shared" si="83"/>
        <v>98911</v>
      </c>
      <c r="E164" s="10">
        <f>SUM(E162:E163)</f>
        <v>108569</v>
      </c>
      <c r="G164" s="10">
        <f t="shared" si="83"/>
        <v>115998</v>
      </c>
      <c r="H164" s="10">
        <f t="shared" si="83"/>
        <v>123013</v>
      </c>
      <c r="I164" s="10">
        <f t="shared" si="83"/>
        <v>123117</v>
      </c>
      <c r="J164" s="10">
        <f t="shared" si="83"/>
        <v>116098</v>
      </c>
      <c r="K164" s="10">
        <f t="shared" si="83"/>
        <v>116157</v>
      </c>
      <c r="L164" s="10">
        <f t="shared" si="83"/>
        <v>116157</v>
      </c>
      <c r="M164" s="10">
        <f t="shared" si="83"/>
        <v>115739</v>
      </c>
      <c r="N164" s="10">
        <f t="shared" si="83"/>
        <v>113166</v>
      </c>
      <c r="O164" s="10">
        <f t="shared" si="83"/>
        <v>108275</v>
      </c>
      <c r="P164" s="10">
        <f t="shared" si="83"/>
        <v>107659</v>
      </c>
      <c r="Q164" s="10">
        <f t="shared" si="83"/>
        <v>107659</v>
      </c>
      <c r="R164" s="10">
        <f t="shared" si="83"/>
        <v>108076</v>
      </c>
      <c r="S164" s="10">
        <f t="shared" si="83"/>
        <v>107997</v>
      </c>
      <c r="T164" s="10">
        <f t="shared" si="83"/>
        <v>111231</v>
      </c>
      <c r="U164" s="10">
        <f t="shared" si="83"/>
        <v>111074</v>
      </c>
      <c r="V164" s="10">
        <f t="shared" si="83"/>
        <v>111074</v>
      </c>
      <c r="W164" s="10">
        <f t="shared" si="83"/>
        <v>110863</v>
      </c>
      <c r="X164" s="10">
        <f t="shared" si="83"/>
        <v>121005</v>
      </c>
      <c r="Y164" s="10">
        <f t="shared" si="83"/>
        <v>121193</v>
      </c>
      <c r="Z164" s="10">
        <f>Z219</f>
        <v>124719</v>
      </c>
      <c r="AA164" s="10">
        <f>AA219</f>
        <v>124719</v>
      </c>
      <c r="AB164" s="10">
        <f>AB219</f>
        <v>122798</v>
      </c>
      <c r="AC164" s="10">
        <f>AC219</f>
        <v>119981</v>
      </c>
      <c r="AD164" s="10">
        <f>AD219</f>
        <v>119691</v>
      </c>
    </row>
    <row r="165" spans="2:32" x14ac:dyDescent="0.2">
      <c r="B165" t="s">
        <v>358</v>
      </c>
      <c r="D165">
        <f>D164-C164</f>
        <v>11040</v>
      </c>
      <c r="E165">
        <f>E164-D164</f>
        <v>9658</v>
      </c>
      <c r="G165">
        <f>G164-78384</f>
        <v>37614</v>
      </c>
      <c r="H165">
        <f t="shared" ref="H165" si="84">H164-G164</f>
        <v>7015</v>
      </c>
      <c r="I165">
        <f t="shared" ref="I165" si="85">I164-H164</f>
        <v>104</v>
      </c>
      <c r="J165">
        <f t="shared" ref="J165" si="86">J164-I164</f>
        <v>-7019</v>
      </c>
      <c r="K165">
        <f t="shared" ref="K165:M165" si="87">K164-J164</f>
        <v>59</v>
      </c>
      <c r="L165">
        <f>L164-G164</f>
        <v>159</v>
      </c>
      <c r="M165">
        <f t="shared" si="87"/>
        <v>-418</v>
      </c>
      <c r="N165">
        <f t="shared" ref="N165" si="88">N164-M164</f>
        <v>-2573</v>
      </c>
      <c r="O165">
        <f t="shared" ref="O165" si="89">O164-N164</f>
        <v>-4891</v>
      </c>
      <c r="P165">
        <f t="shared" ref="P165" si="90">P164-O164</f>
        <v>-616</v>
      </c>
      <c r="Q165">
        <f>Q164-L164</f>
        <v>-8498</v>
      </c>
      <c r="R165">
        <f t="shared" ref="R165" si="91">R164-Q164</f>
        <v>417</v>
      </c>
      <c r="S165">
        <f t="shared" ref="S165" si="92">S164-R164</f>
        <v>-79</v>
      </c>
      <c r="T165">
        <f t="shared" ref="T165" si="93">T164-S164</f>
        <v>3234</v>
      </c>
      <c r="U165">
        <f t="shared" ref="U165" si="94">U164-T164</f>
        <v>-157</v>
      </c>
      <c r="V165">
        <f>V164-Q164</f>
        <v>3415</v>
      </c>
      <c r="W165">
        <f t="shared" ref="W165" si="95">W164-V164</f>
        <v>-211</v>
      </c>
      <c r="X165">
        <f t="shared" ref="X165" si="96">X164-W164</f>
        <v>10142</v>
      </c>
      <c r="Y165">
        <f t="shared" ref="Y165" si="97">Y164-X164</f>
        <v>188</v>
      </c>
      <c r="Z165">
        <f t="shared" ref="Z165" si="98">Z164-Y164</f>
        <v>3526</v>
      </c>
      <c r="AA165">
        <f>AA164-V164</f>
        <v>13645</v>
      </c>
      <c r="AB165">
        <f t="shared" ref="AB165" si="99">AB164-AA164</f>
        <v>-1921</v>
      </c>
      <c r="AC165">
        <f t="shared" ref="AC165" si="100">AC164-AB164</f>
        <v>-2817</v>
      </c>
      <c r="AD165">
        <f t="shared" ref="AD165" si="101">AD164-AC164</f>
        <v>-290</v>
      </c>
    </row>
    <row r="166" spans="2:32" x14ac:dyDescent="0.2">
      <c r="B166" t="s">
        <v>359</v>
      </c>
      <c r="D166">
        <f>D134</f>
        <v>10469</v>
      </c>
      <c r="E166">
        <f>E134</f>
        <v>9237</v>
      </c>
      <c r="G166">
        <f>G134</f>
        <v>29014</v>
      </c>
      <c r="H166">
        <f>H134</f>
        <v>6971</v>
      </c>
      <c r="I166">
        <f>I134</f>
        <v>-501</v>
      </c>
      <c r="J166">
        <f>J134</f>
        <v>-6011</v>
      </c>
      <c r="K166">
        <f>K134</f>
        <v>-27</v>
      </c>
      <c r="L166">
        <f>L134</f>
        <v>432</v>
      </c>
      <c r="M166">
        <f>M134</f>
        <v>6</v>
      </c>
      <c r="N166">
        <f>N134</f>
        <v>-2506</v>
      </c>
      <c r="O166">
        <f>O134</f>
        <v>-5026</v>
      </c>
      <c r="P166">
        <f>P134</f>
        <v>-293</v>
      </c>
      <c r="Q166">
        <f>Q134</f>
        <v>-7819</v>
      </c>
      <c r="R166">
        <f>R134</f>
        <v>231</v>
      </c>
      <c r="S166">
        <f>S134</f>
        <v>-1753</v>
      </c>
      <c r="T166">
        <f>T134</f>
        <v>-441</v>
      </c>
      <c r="U166">
        <f>U134</f>
        <v>4462</v>
      </c>
      <c r="V166">
        <f>V134</f>
        <v>2499</v>
      </c>
      <c r="W166">
        <f>W134</f>
        <v>-978</v>
      </c>
      <c r="X166">
        <f>X134</f>
        <v>10423</v>
      </c>
      <c r="Y166">
        <f>Y134</f>
        <v>0</v>
      </c>
      <c r="Z166">
        <f>Z134</f>
        <v>3220</v>
      </c>
      <c r="AA166">
        <f>AA134</f>
        <v>12665</v>
      </c>
      <c r="AB166">
        <f>AB134</f>
        <v>-1000</v>
      </c>
      <c r="AC166">
        <f>AC134</f>
        <v>-1751</v>
      </c>
      <c r="AD166">
        <f>AD134</f>
        <v>971</v>
      </c>
    </row>
    <row r="167" spans="2:32" s="9" customFormat="1" x14ac:dyDescent="0.2"/>
    <row r="168" spans="2:32" s="9" customFormat="1" x14ac:dyDescent="0.2"/>
    <row r="169" spans="2:32" s="27" customFormat="1" x14ac:dyDescent="0.2">
      <c r="B169" s="27" t="s">
        <v>142</v>
      </c>
      <c r="C169" s="27">
        <f>C164-C158</f>
        <v>71500</v>
      </c>
      <c r="D169" s="27">
        <f t="shared" ref="D169:AD169" si="102">D164-D158</f>
        <v>83754</v>
      </c>
      <c r="E169" s="27">
        <f>E164-E158</f>
        <v>89998</v>
      </c>
      <c r="F169" s="27">
        <f t="shared" si="102"/>
        <v>-20289</v>
      </c>
      <c r="G169" s="27">
        <f t="shared" si="102"/>
        <v>95709</v>
      </c>
      <c r="H169" s="27">
        <f t="shared" si="102"/>
        <v>95522</v>
      </c>
      <c r="I169" s="27">
        <f t="shared" si="102"/>
        <v>78058</v>
      </c>
      <c r="J169" s="27">
        <f t="shared" si="102"/>
        <v>84127</v>
      </c>
      <c r="K169" s="27">
        <f t="shared" si="102"/>
        <v>90244</v>
      </c>
      <c r="L169" s="27">
        <f t="shared" si="102"/>
        <v>90244</v>
      </c>
      <c r="M169" s="27">
        <f t="shared" si="102"/>
        <v>70968</v>
      </c>
      <c r="N169" s="27">
        <f t="shared" si="102"/>
        <v>75178</v>
      </c>
      <c r="O169" s="27">
        <f t="shared" si="102"/>
        <v>57745</v>
      </c>
      <c r="P169" s="27">
        <f t="shared" si="102"/>
        <v>58815</v>
      </c>
      <c r="Q169" s="27">
        <f t="shared" si="102"/>
        <v>58815</v>
      </c>
      <c r="R169" s="27">
        <f t="shared" si="102"/>
        <v>68305</v>
      </c>
      <c r="S169" s="27">
        <f t="shared" si="102"/>
        <v>67823</v>
      </c>
      <c r="T169" s="27">
        <f t="shared" si="102"/>
        <v>77848</v>
      </c>
      <c r="U169" s="27">
        <f t="shared" si="102"/>
        <v>73058</v>
      </c>
      <c r="V169" s="27">
        <f t="shared" si="102"/>
        <v>73058</v>
      </c>
      <c r="W169" s="27">
        <f t="shared" si="102"/>
        <v>74853</v>
      </c>
      <c r="X169" s="27">
        <f t="shared" si="102"/>
        <v>82539</v>
      </c>
      <c r="Y169" s="27">
        <f t="shared" si="102"/>
        <v>87143</v>
      </c>
      <c r="Z169" s="27">
        <f t="shared" si="102"/>
        <v>89779</v>
      </c>
      <c r="AA169" s="27">
        <f t="shared" si="102"/>
        <v>89779</v>
      </c>
      <c r="AB169" s="27">
        <f t="shared" si="102"/>
        <v>85679</v>
      </c>
      <c r="AC169" s="27">
        <f t="shared" si="102"/>
        <v>91883</v>
      </c>
      <c r="AD169" s="27">
        <f t="shared" si="102"/>
        <v>92189</v>
      </c>
    </row>
    <row r="170" spans="2:32" x14ac:dyDescent="0.2">
      <c r="B170" s="28" t="s">
        <v>146</v>
      </c>
      <c r="C170">
        <f>C155*C156</f>
        <v>150356015.24155614</v>
      </c>
      <c r="D170">
        <f>D155*D156</f>
        <v>224371540.17443848</v>
      </c>
      <c r="E170">
        <f>E155*E156</f>
        <v>184323841.16854855</v>
      </c>
      <c r="F170">
        <f>F155*F156</f>
        <v>191450441.47613525</v>
      </c>
      <c r="G170">
        <f>G155*G156</f>
        <v>197660561.65672302</v>
      </c>
      <c r="H170">
        <f>H155*H156</f>
        <v>194126212.14757919</v>
      </c>
      <c r="I170">
        <f>I155*I156</f>
        <v>199153758.88232803</v>
      </c>
      <c r="J170">
        <f>J155*J156</f>
        <v>212792564.4946861</v>
      </c>
      <c r="K170">
        <f>K155*K156</f>
        <v>227717461.84363174</v>
      </c>
      <c r="L170">
        <f>L155*L156</f>
        <v>275993508.13498306</v>
      </c>
      <c r="M170">
        <f>M155*M156</f>
        <v>263471569.258255</v>
      </c>
      <c r="N170">
        <f>N155*N156</f>
        <v>340691074.76856995</v>
      </c>
      <c r="O170">
        <f>O155*O156</f>
        <v>217116121.61903384</v>
      </c>
      <c r="P170">
        <f>P155*P156</f>
        <v>230795288.01310349</v>
      </c>
      <c r="Q170">
        <f>Q155*Q156</f>
        <v>252993836.94758606</v>
      </c>
      <c r="R170">
        <f>R155*R156</f>
        <v>242419541.52337646</v>
      </c>
      <c r="S170">
        <f>S155*S156</f>
        <v>602077223.5436399</v>
      </c>
      <c r="T170">
        <f>T155*T156</f>
        <v>267296892.09141538</v>
      </c>
      <c r="U170">
        <f>U155*U156</f>
        <v>1577802172.5116272</v>
      </c>
      <c r="V170">
        <f>V155*V156</f>
        <v>1896903340.4767451</v>
      </c>
      <c r="W170">
        <f>W155*W156</f>
        <v>1852043336.2507319</v>
      </c>
      <c r="X170">
        <f>X155*X156</f>
        <v>3052834912.8082123</v>
      </c>
      <c r="Y170">
        <f>Y155*Y156</f>
        <v>2023709362.1934505</v>
      </c>
      <c r="Z170">
        <f>Z155*Z156</f>
        <v>2249948905.5511785</v>
      </c>
      <c r="AA170">
        <f>AA155*AA156</f>
        <v>2477793868.599411</v>
      </c>
      <c r="AB170">
        <f>AB155*AB156</f>
        <v>2427014203.4722748</v>
      </c>
      <c r="AC170">
        <f>AC155*AC156</f>
        <v>2865987391.5435786</v>
      </c>
      <c r="AD170">
        <f>AD155*AD156</f>
        <v>2303703736.5339665</v>
      </c>
    </row>
    <row r="171" spans="2:32" x14ac:dyDescent="0.2">
      <c r="B171" t="s">
        <v>143</v>
      </c>
      <c r="C171">
        <f>C169+C170</f>
        <v>150427515.24155614</v>
      </c>
      <c r="D171">
        <f t="shared" ref="D171:AD171" si="103">D169+D170</f>
        <v>224455294.17443848</v>
      </c>
      <c r="E171">
        <f>E169+E170</f>
        <v>184413839.16854855</v>
      </c>
      <c r="F171">
        <f t="shared" si="103"/>
        <v>191430152.47613525</v>
      </c>
      <c r="G171">
        <f t="shared" si="103"/>
        <v>197756270.65672302</v>
      </c>
      <c r="H171">
        <f t="shared" si="103"/>
        <v>194221734.14757919</v>
      </c>
      <c r="I171">
        <f t="shared" si="103"/>
        <v>199231816.88232803</v>
      </c>
      <c r="J171">
        <f t="shared" si="103"/>
        <v>212876691.4946861</v>
      </c>
      <c r="K171">
        <f t="shared" si="103"/>
        <v>227807705.84363174</v>
      </c>
      <c r="L171">
        <f t="shared" si="103"/>
        <v>276083752.13498306</v>
      </c>
      <c r="M171">
        <f t="shared" si="103"/>
        <v>263542537.258255</v>
      </c>
      <c r="N171">
        <f t="shared" si="103"/>
        <v>340766252.76856995</v>
      </c>
      <c r="O171">
        <f t="shared" si="103"/>
        <v>217173866.61903384</v>
      </c>
      <c r="P171">
        <f t="shared" si="103"/>
        <v>230854103.01310349</v>
      </c>
      <c r="Q171">
        <f t="shared" si="103"/>
        <v>253052651.94758606</v>
      </c>
      <c r="R171">
        <f t="shared" si="103"/>
        <v>242487846.52337646</v>
      </c>
      <c r="S171">
        <f t="shared" si="103"/>
        <v>602145046.5436399</v>
      </c>
      <c r="T171">
        <f t="shared" si="103"/>
        <v>267374740.09141538</v>
      </c>
      <c r="U171">
        <f t="shared" si="103"/>
        <v>1577875230.5116272</v>
      </c>
      <c r="V171">
        <f t="shared" si="103"/>
        <v>1896976398.4767451</v>
      </c>
      <c r="W171">
        <f t="shared" si="103"/>
        <v>1852118189.2507319</v>
      </c>
      <c r="X171">
        <f t="shared" si="103"/>
        <v>3052917451.8082123</v>
      </c>
      <c r="Y171">
        <f t="shared" si="103"/>
        <v>2023796505.1934505</v>
      </c>
      <c r="Z171">
        <f t="shared" si="103"/>
        <v>2250038684.5511785</v>
      </c>
      <c r="AA171">
        <f t="shared" si="103"/>
        <v>2477883647.599411</v>
      </c>
      <c r="AB171">
        <f t="shared" si="103"/>
        <v>2427099882.4722748</v>
      </c>
      <c r="AC171">
        <f t="shared" si="103"/>
        <v>2866079274.5435786</v>
      </c>
      <c r="AD171">
        <f t="shared" si="103"/>
        <v>2303795925.5339665</v>
      </c>
    </row>
    <row r="173" spans="2:32" x14ac:dyDescent="0.2">
      <c r="B173" t="s">
        <v>147</v>
      </c>
      <c r="C173" s="40">
        <f>C169/C170</f>
        <v>4.7553800814108352E-4</v>
      </c>
      <c r="D173" s="40">
        <f t="shared" ref="D173:AD173" si="104">D169/D170</f>
        <v>3.7328263617963822E-4</v>
      </c>
      <c r="E173" s="40">
        <f>E169/E170</f>
        <v>4.8826022412208983E-4</v>
      </c>
      <c r="F173" s="40">
        <f t="shared" si="104"/>
        <v>-1.059752061346334E-4</v>
      </c>
      <c r="G173" s="40">
        <f t="shared" si="104"/>
        <v>4.842088841486637E-4</v>
      </c>
      <c r="H173" s="40">
        <f t="shared" si="104"/>
        <v>4.9206131899066767E-4</v>
      </c>
      <c r="I173" s="40">
        <f t="shared" si="104"/>
        <v>3.9194841432102387E-4</v>
      </c>
      <c r="J173" s="40">
        <f t="shared" si="104"/>
        <v>3.9534746056458581E-4</v>
      </c>
      <c r="K173" s="40">
        <f t="shared" si="104"/>
        <v>3.9629811113022347E-4</v>
      </c>
      <c r="L173" s="40">
        <f t="shared" si="104"/>
        <v>3.2697870544064905E-4</v>
      </c>
      <c r="M173" s="40">
        <f t="shared" si="104"/>
        <v>2.6935733597288869E-4</v>
      </c>
      <c r="N173" s="40">
        <f t="shared" si="104"/>
        <v>2.2066325057405189E-4</v>
      </c>
      <c r="O173" s="40">
        <f t="shared" si="104"/>
        <v>2.6596366759591976E-4</v>
      </c>
      <c r="P173" s="40">
        <f t="shared" si="104"/>
        <v>2.5483622523810262E-4</v>
      </c>
      <c r="Q173" s="40">
        <f t="shared" si="104"/>
        <v>2.3247601882169557E-4</v>
      </c>
      <c r="R173" s="40">
        <f t="shared" si="104"/>
        <v>2.8176358873863047E-4</v>
      </c>
      <c r="S173" s="40">
        <f t="shared" si="104"/>
        <v>1.1264834035875805E-4</v>
      </c>
      <c r="T173" s="40">
        <f t="shared" si="104"/>
        <v>2.9124169529579129E-4</v>
      </c>
      <c r="U173" s="40">
        <f t="shared" si="104"/>
        <v>4.6303650275561792E-5</v>
      </c>
      <c r="V173" s="40">
        <f t="shared" si="104"/>
        <v>3.851435043687491E-5</v>
      </c>
      <c r="W173" s="40">
        <f t="shared" si="104"/>
        <v>4.0416440876341518E-5</v>
      </c>
      <c r="X173" s="40">
        <f t="shared" si="104"/>
        <v>2.7036837024401958E-5</v>
      </c>
      <c r="Y173" s="40">
        <f t="shared" si="104"/>
        <v>4.3061025277635609E-5</v>
      </c>
      <c r="Z173" s="40">
        <f t="shared" si="104"/>
        <v>3.9902683913618255E-5</v>
      </c>
      <c r="AA173" s="40">
        <f t="shared" si="104"/>
        <v>3.623344182813244E-5</v>
      </c>
      <c r="AB173" s="40">
        <f t="shared" si="104"/>
        <v>3.5302224386417258E-5</v>
      </c>
      <c r="AC173" s="40">
        <f t="shared" si="104"/>
        <v>3.2059806079786401E-5</v>
      </c>
      <c r="AD173" s="40">
        <f t="shared" si="104"/>
        <v>4.0017732548675203E-5</v>
      </c>
      <c r="AE173" s="40"/>
      <c r="AF173" s="40"/>
    </row>
    <row r="175" spans="2:32" x14ac:dyDescent="0.2">
      <c r="B175" t="s">
        <v>272</v>
      </c>
      <c r="C175" s="29">
        <f>C164/C120</f>
        <v>3.3352691110605024</v>
      </c>
      <c r="D175" s="29">
        <f t="shared" ref="D175:AD175" si="105">D164/D120</f>
        <v>6.0205125083693467</v>
      </c>
      <c r="E175" s="29">
        <f>E164/E120</f>
        <v>8.2738149672306047</v>
      </c>
      <c r="F175" s="29">
        <f t="shared" si="105"/>
        <v>0</v>
      </c>
      <c r="G175" s="29">
        <f t="shared" si="105"/>
        <v>1.6223269604620913</v>
      </c>
      <c r="H175" s="29">
        <f t="shared" si="105"/>
        <v>4.2390502774044592</v>
      </c>
      <c r="I175" s="29">
        <f t="shared" si="105"/>
        <v>6.6074706166478832</v>
      </c>
      <c r="J175" s="29">
        <f t="shared" si="105"/>
        <v>7.5995287032794394</v>
      </c>
      <c r="K175" s="29">
        <f t="shared" si="105"/>
        <v>6.1549915218312847</v>
      </c>
      <c r="L175" s="29">
        <f t="shared" si="105"/>
        <v>1.4199948655884402</v>
      </c>
      <c r="M175" s="29">
        <f t="shared" si="105"/>
        <v>4.3281477880408366</v>
      </c>
      <c r="N175" s="29">
        <f t="shared" si="105"/>
        <v>6.8773017319963534</v>
      </c>
      <c r="O175" s="29">
        <f t="shared" si="105"/>
        <v>7.4791047869033642</v>
      </c>
      <c r="P175" s="29">
        <f t="shared" si="105"/>
        <v>5.7253243990640286</v>
      </c>
      <c r="Q175" s="29">
        <f t="shared" si="105"/>
        <v>1.4077304287563581</v>
      </c>
      <c r="R175" s="29">
        <f t="shared" si="105"/>
        <v>3.8075039633609302</v>
      </c>
      <c r="S175" s="29">
        <f t="shared" si="105"/>
        <v>6.9056205639746784</v>
      </c>
      <c r="T175" s="29">
        <f t="shared" si="105"/>
        <v>7.0208293883734143</v>
      </c>
      <c r="U175" s="29">
        <f t="shared" si="105"/>
        <v>6.3554385764147163</v>
      </c>
      <c r="V175" s="29">
        <f t="shared" si="105"/>
        <v>1.4361036408771204</v>
      </c>
      <c r="W175" s="29">
        <f t="shared" si="105"/>
        <v>3.062513812154696</v>
      </c>
      <c r="X175" s="29">
        <f t="shared" si="105"/>
        <v>3.9935643564356438</v>
      </c>
      <c r="Y175" s="29">
        <f t="shared" si="105"/>
        <v>4.4956228206840274</v>
      </c>
      <c r="Z175" s="29">
        <f t="shared" si="105"/>
        <v>4.6580392156862747</v>
      </c>
      <c r="AA175" s="29">
        <f t="shared" si="105"/>
        <v>1.03731088802575</v>
      </c>
      <c r="AB175" s="29">
        <f t="shared" si="105"/>
        <v>2.7791784542265474</v>
      </c>
      <c r="AC175" s="29">
        <f t="shared" si="105"/>
        <v>3.6673493092065046</v>
      </c>
      <c r="AD175" s="29">
        <f t="shared" si="105"/>
        <v>4.6246667439434335</v>
      </c>
    </row>
    <row r="176" spans="2:32" x14ac:dyDescent="0.2">
      <c r="B176" t="s">
        <v>270</v>
      </c>
      <c r="C176" s="29">
        <f>C169/C120</f>
        <v>2.7138844606391861</v>
      </c>
      <c r="D176" s="29">
        <f>D169/D120</f>
        <v>5.0979365755675943</v>
      </c>
      <c r="E176" s="29">
        <f>E169/E120</f>
        <v>6.8585581466239907</v>
      </c>
      <c r="F176" s="29">
        <f>F169/F120</f>
        <v>-1.300243527300692</v>
      </c>
      <c r="G176" s="29">
        <f>G169/G120</f>
        <v>1.3385686913469741</v>
      </c>
      <c r="H176" s="29">
        <f>H169/H120</f>
        <v>3.2917054343705847</v>
      </c>
      <c r="I176" s="29">
        <f>I169/I120</f>
        <v>4.1892341544571456</v>
      </c>
      <c r="J176" s="29">
        <f>J169/J120</f>
        <v>5.5067748903580549</v>
      </c>
      <c r="K176" s="29">
        <f>K169/K120</f>
        <v>4.7818991097922847</v>
      </c>
      <c r="L176" s="29">
        <f>L169/L120</f>
        <v>1.1032138971406218</v>
      </c>
      <c r="M176" s="29">
        <f>M169/M120</f>
        <v>2.653902247485135</v>
      </c>
      <c r="N176" s="29">
        <f>N169/N120</f>
        <v>4.5687025220297786</v>
      </c>
      <c r="O176" s="29">
        <f>O169/O120</f>
        <v>3.9887407612074326</v>
      </c>
      <c r="P176" s="29">
        <f>P169/P120</f>
        <v>3.127791959157626</v>
      </c>
      <c r="Q176" s="29">
        <f>Q169/Q120</f>
        <v>0.76905474848647304</v>
      </c>
      <c r="R176" s="29">
        <f>R169/R120</f>
        <v>2.4063766073630437</v>
      </c>
      <c r="S176" s="29">
        <f>S169/S120</f>
        <v>4.3367862395293812</v>
      </c>
      <c r="T176" s="29">
        <f>T169/T120</f>
        <v>4.9137158366470999</v>
      </c>
      <c r="U176" s="29">
        <f>U169/U120</f>
        <v>4.180236882760199</v>
      </c>
      <c r="V176" s="29">
        <f>V169/V120</f>
        <v>0.94458522962350022</v>
      </c>
      <c r="W176" s="29">
        <f>W169/W120</f>
        <v>2.0677624309392266</v>
      </c>
      <c r="X176" s="29">
        <f>X169/X120</f>
        <v>2.724059405940594</v>
      </c>
      <c r="Y176" s="29">
        <f>Y169/Y120</f>
        <v>3.2325469248460568</v>
      </c>
      <c r="Z176" s="29">
        <f>Z169/Z120</f>
        <v>3.3530905695611577</v>
      </c>
      <c r="AA176" s="29">
        <f>AA169/AA120</f>
        <v>0.7467084743789143</v>
      </c>
      <c r="AB176" s="29">
        <f>AB169/AB120</f>
        <v>1.9390969786126513</v>
      </c>
      <c r="AC176" s="29">
        <f>AC169/AC120</f>
        <v>2.8085034845335617</v>
      </c>
      <c r="AD176" s="29">
        <f>AD169/AD120</f>
        <v>3.5620339245005987</v>
      </c>
    </row>
    <row r="177" spans="2:30" x14ac:dyDescent="0.2"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</row>
    <row r="178" spans="2:30" x14ac:dyDescent="0.2">
      <c r="B178" t="s">
        <v>360</v>
      </c>
      <c r="C178" s="35">
        <f>C192/C66</f>
        <v>3.4613470153539841E-2</v>
      </c>
      <c r="D178" s="35">
        <f t="shared" ref="D178:AD178" si="106">D192/D66</f>
        <v>5.5013611615245012E-2</v>
      </c>
      <c r="E178" s="35">
        <f>E192/E66</f>
        <v>6.9282945736434107E-2</v>
      </c>
      <c r="F178" s="35">
        <f t="shared" si="106"/>
        <v>9.2337244907662749E-2</v>
      </c>
      <c r="G178" s="35">
        <f t="shared" si="106"/>
        <v>2.1179231702103528E-2</v>
      </c>
      <c r="H178" s="35">
        <f t="shared" si="106"/>
        <v>5.007191963122784E-2</v>
      </c>
      <c r="I178" s="35">
        <f t="shared" si="106"/>
        <v>0.1253250895529712</v>
      </c>
      <c r="J178" s="35">
        <f t="shared" si="106"/>
        <v>0.11144278606965174</v>
      </c>
      <c r="K178" s="35">
        <f t="shared" si="106"/>
        <v>6.2893481717011132E-2</v>
      </c>
      <c r="L178" s="35">
        <f t="shared" si="106"/>
        <v>1.4894858713454697E-2</v>
      </c>
      <c r="M178" s="35">
        <f t="shared" si="106"/>
        <v>5.9162614162021114E-2</v>
      </c>
      <c r="N178" s="35">
        <f t="shared" si="106"/>
        <v>8.4185124536757736E-2</v>
      </c>
      <c r="O178" s="35">
        <f t="shared" si="106"/>
        <v>6.2350164470627592E-2</v>
      </c>
      <c r="P178" s="35">
        <f t="shared" si="106"/>
        <v>6.4116177389131793E-2</v>
      </c>
      <c r="Q178" s="35">
        <f t="shared" si="106"/>
        <v>1.5781746062250648E-2</v>
      </c>
      <c r="R178" s="35">
        <f t="shared" si="106"/>
        <v>4.4620394471732432E-2</v>
      </c>
      <c r="S178" s="35">
        <f t="shared" si="106"/>
        <v>5.7174215012089927E-2</v>
      </c>
      <c r="T178" s="35">
        <f t="shared" si="106"/>
        <v>6.6649912038200559E-2</v>
      </c>
      <c r="U178" s="35">
        <f t="shared" si="106"/>
        <v>6.2768555442208412E-2</v>
      </c>
      <c r="V178" s="35">
        <f t="shared" si="106"/>
        <v>1.4793362839917673E-2</v>
      </c>
      <c r="W178" s="35">
        <f t="shared" si="106"/>
        <v>4.4625310708100399E-2</v>
      </c>
      <c r="X178" s="35">
        <f t="shared" si="106"/>
        <v>5.8258171101982496E-2</v>
      </c>
      <c r="Y178" s="35">
        <f t="shared" si="106"/>
        <v>6.3585234668565957E-2</v>
      </c>
      <c r="Z178" s="35">
        <f t="shared" si="106"/>
        <v>7.8934740882917465E-2</v>
      </c>
      <c r="AA178" s="35">
        <f t="shared" si="106"/>
        <v>1.7987135644324893E-2</v>
      </c>
      <c r="AB178" s="35">
        <f t="shared" si="106"/>
        <v>4.7408124571382465E-2</v>
      </c>
      <c r="AC178" s="35">
        <f t="shared" si="106"/>
        <v>5.6127798680071547E-2</v>
      </c>
      <c r="AD178" s="35">
        <f t="shared" si="106"/>
        <v>6.5490181897081695E-2</v>
      </c>
    </row>
    <row r="179" spans="2:30" x14ac:dyDescent="0.2">
      <c r="B179" t="s">
        <v>361</v>
      </c>
      <c r="C179" s="29">
        <f>C199/C114</f>
        <v>0.33834922336664497</v>
      </c>
      <c r="D179" s="29">
        <f t="shared" ref="D179:AD179" si="107">D199/D114</f>
        <v>0.51351709013914093</v>
      </c>
      <c r="E179" s="29">
        <f>E199/E114</f>
        <v>0.64495243128964064</v>
      </c>
      <c r="F179" s="29">
        <f t="shared" si="107"/>
        <v>0.64251887635748117</v>
      </c>
      <c r="G179" s="29">
        <f t="shared" si="107"/>
        <v>0.14737342628056921</v>
      </c>
      <c r="H179" s="29">
        <f t="shared" si="107"/>
        <v>0.38144586773583411</v>
      </c>
      <c r="I179" s="29">
        <f t="shared" si="107"/>
        <v>0.57374421381487484</v>
      </c>
      <c r="J179" s="29">
        <f t="shared" si="107"/>
        <v>0.71561062611470949</v>
      </c>
      <c r="K179" s="29">
        <f t="shared" si="107"/>
        <v>0.65666136724960256</v>
      </c>
      <c r="L179" s="29">
        <f t="shared" si="107"/>
        <v>0.15551497580903256</v>
      </c>
      <c r="M179" s="29">
        <f t="shared" si="107"/>
        <v>0.46965958960977344</v>
      </c>
      <c r="N179" s="29">
        <f t="shared" si="107"/>
        <v>0.66786175988968366</v>
      </c>
      <c r="O179" s="29">
        <f t="shared" si="107"/>
        <v>0.69943689717333535</v>
      </c>
      <c r="P179" s="29">
        <f t="shared" si="107"/>
        <v>0.58366645846346032</v>
      </c>
      <c r="Q179" s="29">
        <f t="shared" si="107"/>
        <v>0.14366539315996218</v>
      </c>
      <c r="R179" s="29">
        <f t="shared" si="107"/>
        <v>0.4033043269911456</v>
      </c>
      <c r="S179" s="29">
        <f t="shared" si="107"/>
        <v>0.61545452986469573</v>
      </c>
      <c r="T179" s="29">
        <f t="shared" si="107"/>
        <v>0.59792242607020185</v>
      </c>
      <c r="U179" s="29">
        <f t="shared" si="107"/>
        <v>0.56827104392716932</v>
      </c>
      <c r="V179" s="29">
        <f t="shared" si="107"/>
        <v>0.13393075059650655</v>
      </c>
      <c r="W179" s="29">
        <f t="shared" si="107"/>
        <v>0.34039250172740243</v>
      </c>
      <c r="X179" s="29">
        <f t="shared" si="107"/>
        <v>0.42211778889087337</v>
      </c>
      <c r="Y179" s="29">
        <f t="shared" si="107"/>
        <v>0.47418768573323183</v>
      </c>
      <c r="Z179" s="29">
        <f t="shared" si="107"/>
        <v>0.4731285988483685</v>
      </c>
      <c r="AA179" s="29">
        <f t="shared" si="107"/>
        <v>0.10781346957631821</v>
      </c>
      <c r="AB179" s="29">
        <f t="shared" si="107"/>
        <v>0.31663237726410909</v>
      </c>
      <c r="AC179" s="29">
        <f t="shared" si="107"/>
        <v>0.40403791196365058</v>
      </c>
      <c r="AD179" s="29">
        <f t="shared" si="107"/>
        <v>0.48620402849600403</v>
      </c>
    </row>
    <row r="180" spans="2:30" x14ac:dyDescent="0.2"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</row>
    <row r="181" spans="2:30" x14ac:dyDescent="0.2">
      <c r="B181" s="37" t="s">
        <v>291</v>
      </c>
    </row>
    <row r="182" spans="2:30" x14ac:dyDescent="0.2">
      <c r="B182" t="s">
        <v>267</v>
      </c>
      <c r="C182">
        <v>44081</v>
      </c>
      <c r="D182">
        <v>51944</v>
      </c>
      <c r="E182">
        <v>58188</v>
      </c>
      <c r="F182">
        <v>53892</v>
      </c>
      <c r="G182">
        <v>53892</v>
      </c>
      <c r="H182">
        <v>49662</v>
      </c>
      <c r="I182">
        <v>42881</v>
      </c>
      <c r="J182">
        <v>38999</v>
      </c>
      <c r="K182">
        <v>40388</v>
      </c>
      <c r="L182">
        <v>40388</v>
      </c>
      <c r="M182">
        <v>41656</v>
      </c>
      <c r="N182">
        <v>42104</v>
      </c>
      <c r="O182">
        <v>44084</v>
      </c>
      <c r="P182">
        <v>51713</v>
      </c>
      <c r="Q182">
        <v>51713</v>
      </c>
      <c r="R182">
        <v>67391</v>
      </c>
      <c r="S182">
        <v>53877</v>
      </c>
      <c r="T182">
        <v>59642</v>
      </c>
      <c r="U182">
        <v>52927</v>
      </c>
      <c r="V182">
        <v>52927</v>
      </c>
      <c r="W182">
        <v>40816</v>
      </c>
      <c r="X182">
        <v>31368</v>
      </c>
      <c r="Y182">
        <v>27646</v>
      </c>
      <c r="Z182">
        <v>27699</v>
      </c>
      <c r="AA182">
        <v>27699</v>
      </c>
      <c r="AB182">
        <v>26794</v>
      </c>
      <c r="AC182">
        <v>23413</v>
      </c>
      <c r="AD182">
        <v>20729</v>
      </c>
    </row>
    <row r="183" spans="2:30" x14ac:dyDescent="0.2">
      <c r="B183" t="s">
        <v>266</v>
      </c>
      <c r="C183">
        <v>185638</v>
      </c>
      <c r="D183">
        <v>189740</v>
      </c>
      <c r="E183">
        <v>184757</v>
      </c>
      <c r="F183">
        <v>194714</v>
      </c>
      <c r="G183">
        <v>194714</v>
      </c>
      <c r="H183">
        <v>207944</v>
      </c>
      <c r="I183">
        <v>179286</v>
      </c>
      <c r="J183">
        <v>172773</v>
      </c>
      <c r="K183">
        <v>170799</v>
      </c>
      <c r="L183">
        <v>170799</v>
      </c>
      <c r="M183">
        <v>158608</v>
      </c>
      <c r="N183">
        <v>145319</v>
      </c>
      <c r="O183">
        <v>115996</v>
      </c>
      <c r="P183">
        <v>105341</v>
      </c>
      <c r="Q183">
        <v>105341</v>
      </c>
      <c r="R183">
        <v>99899</v>
      </c>
      <c r="S183">
        <v>98793</v>
      </c>
      <c r="T183">
        <v>100592</v>
      </c>
      <c r="U183">
        <v>100887</v>
      </c>
      <c r="V183">
        <v>100887</v>
      </c>
      <c r="W183">
        <v>118745</v>
      </c>
      <c r="X183">
        <v>134539</v>
      </c>
      <c r="Y183">
        <v>131948</v>
      </c>
      <c r="Z183">
        <v>127877</v>
      </c>
      <c r="AA183">
        <v>127877</v>
      </c>
      <c r="AB183">
        <v>138683</v>
      </c>
      <c r="AC183">
        <v>141219</v>
      </c>
      <c r="AD183">
        <v>131077</v>
      </c>
    </row>
    <row r="184" spans="2:30" x14ac:dyDescent="0.2">
      <c r="B184" s="10" t="s">
        <v>113</v>
      </c>
      <c r="C184" s="10">
        <f>SUM(C182:C183)</f>
        <v>229719</v>
      </c>
      <c r="D184" s="10">
        <f t="shared" ref="D184:AD184" si="108">SUM(D182:D183)</f>
        <v>241684</v>
      </c>
      <c r="E184" s="10">
        <f>SUM(E182:E183)</f>
        <v>242945</v>
      </c>
      <c r="F184" s="10">
        <f t="shared" si="108"/>
        <v>248606</v>
      </c>
      <c r="G184" s="10">
        <f t="shared" si="108"/>
        <v>248606</v>
      </c>
      <c r="H184" s="10">
        <f t="shared" si="108"/>
        <v>257606</v>
      </c>
      <c r="I184" s="10">
        <f t="shared" si="108"/>
        <v>222167</v>
      </c>
      <c r="J184" s="10">
        <f t="shared" si="108"/>
        <v>211772</v>
      </c>
      <c r="K184" s="10">
        <f t="shared" si="108"/>
        <v>211187</v>
      </c>
      <c r="L184" s="10">
        <f t="shared" si="108"/>
        <v>211187</v>
      </c>
      <c r="M184" s="10">
        <f t="shared" si="108"/>
        <v>200264</v>
      </c>
      <c r="N184" s="10">
        <f t="shared" si="108"/>
        <v>187423</v>
      </c>
      <c r="O184" s="10">
        <f t="shared" si="108"/>
        <v>160080</v>
      </c>
      <c r="P184" s="10">
        <f t="shared" si="108"/>
        <v>157054</v>
      </c>
      <c r="Q184" s="10">
        <f t="shared" si="108"/>
        <v>157054</v>
      </c>
      <c r="R184" s="10">
        <f t="shared" si="108"/>
        <v>167290</v>
      </c>
      <c r="S184" s="10">
        <f t="shared" si="108"/>
        <v>152670</v>
      </c>
      <c r="T184" s="10">
        <f t="shared" si="108"/>
        <v>160234</v>
      </c>
      <c r="U184" s="10">
        <f t="shared" si="108"/>
        <v>153814</v>
      </c>
      <c r="V184" s="10">
        <f t="shared" si="108"/>
        <v>153814</v>
      </c>
      <c r="W184" s="10">
        <f t="shared" si="108"/>
        <v>159561</v>
      </c>
      <c r="X184" s="10">
        <f t="shared" si="108"/>
        <v>165907</v>
      </c>
      <c r="Y184" s="10">
        <f t="shared" si="108"/>
        <v>159594</v>
      </c>
      <c r="Z184" s="10">
        <f t="shared" si="108"/>
        <v>155576</v>
      </c>
      <c r="AA184" s="10">
        <f t="shared" si="108"/>
        <v>155576</v>
      </c>
      <c r="AB184" s="10">
        <f t="shared" si="108"/>
        <v>165477</v>
      </c>
      <c r="AC184" s="10">
        <f t="shared" si="108"/>
        <v>164632</v>
      </c>
      <c r="AD184" s="10">
        <f t="shared" si="108"/>
        <v>151806</v>
      </c>
    </row>
    <row r="185" spans="2:30" x14ac:dyDescent="0.2">
      <c r="B185" t="s">
        <v>141</v>
      </c>
      <c r="C185">
        <v>16371</v>
      </c>
      <c r="D185">
        <v>15157</v>
      </c>
      <c r="E185">
        <v>18571</v>
      </c>
      <c r="F185">
        <v>20289</v>
      </c>
      <c r="G185">
        <v>20289</v>
      </c>
      <c r="H185">
        <v>27491</v>
      </c>
      <c r="I185">
        <v>45059</v>
      </c>
      <c r="J185">
        <v>31971</v>
      </c>
      <c r="K185">
        <v>25913</v>
      </c>
      <c r="L185">
        <v>25913</v>
      </c>
      <c r="M185">
        <v>44771</v>
      </c>
      <c r="N185">
        <v>37988</v>
      </c>
      <c r="O185">
        <v>50530</v>
      </c>
      <c r="P185">
        <v>48844</v>
      </c>
      <c r="Q185">
        <v>48844</v>
      </c>
      <c r="R185">
        <v>39771</v>
      </c>
      <c r="S185">
        <v>40174</v>
      </c>
      <c r="T185">
        <v>33383</v>
      </c>
      <c r="U185">
        <v>38016</v>
      </c>
      <c r="V185">
        <v>38016</v>
      </c>
      <c r="W185">
        <v>36010</v>
      </c>
      <c r="X185">
        <v>38466</v>
      </c>
      <c r="Y185">
        <v>34050</v>
      </c>
      <c r="Z185">
        <v>34940</v>
      </c>
      <c r="AA185">
        <v>34940</v>
      </c>
      <c r="AB185">
        <v>37119</v>
      </c>
      <c r="AC185">
        <v>28098</v>
      </c>
      <c r="AD185">
        <v>27502</v>
      </c>
    </row>
    <row r="186" spans="2:30" x14ac:dyDescent="0.2">
      <c r="B186" s="10" t="s">
        <v>271</v>
      </c>
      <c r="C186" s="10">
        <f>C185+C184</f>
        <v>246090</v>
      </c>
      <c r="D186" s="10">
        <f>D185+D184</f>
        <v>256841</v>
      </c>
      <c r="E186" s="10">
        <f>E185+E184</f>
        <v>261516</v>
      </c>
      <c r="F186" s="10">
        <f>F185+F184</f>
        <v>268895</v>
      </c>
      <c r="G186" s="10">
        <f>G185+G184</f>
        <v>268895</v>
      </c>
      <c r="H186" s="10">
        <f>H185+H184</f>
        <v>285097</v>
      </c>
      <c r="I186" s="10">
        <f>I185+I184</f>
        <v>267226</v>
      </c>
      <c r="J186" s="10">
        <f>J185+J184</f>
        <v>243743</v>
      </c>
      <c r="K186" s="10">
        <f>K185+K184</f>
        <v>237100</v>
      </c>
      <c r="L186" s="10">
        <f>L185+L184</f>
        <v>237100</v>
      </c>
      <c r="M186" s="10">
        <f>M185+M184</f>
        <v>245035</v>
      </c>
      <c r="N186" s="10">
        <f>N185+N184</f>
        <v>225411</v>
      </c>
      <c r="O186" s="10">
        <f>O185+O184</f>
        <v>210610</v>
      </c>
      <c r="P186" s="10">
        <f>P185+P184</f>
        <v>205898</v>
      </c>
      <c r="Q186" s="10">
        <f>Q185+Q184</f>
        <v>205898</v>
      </c>
      <c r="R186" s="10">
        <f>R185+R184</f>
        <v>207061</v>
      </c>
      <c r="S186" s="10">
        <f>S185+S184</f>
        <v>192844</v>
      </c>
      <c r="T186" s="10">
        <f>T185+T184</f>
        <v>193617</v>
      </c>
      <c r="U186" s="10">
        <f>U185+U184</f>
        <v>191830</v>
      </c>
      <c r="V186" s="10">
        <f>V185+V184</f>
        <v>191830</v>
      </c>
      <c r="W186" s="10">
        <f>W185+W184</f>
        <v>195571</v>
      </c>
      <c r="X186" s="10">
        <f>X185+X184</f>
        <v>204373</v>
      </c>
      <c r="Y186" s="10">
        <f>Y185+Y184</f>
        <v>193644</v>
      </c>
      <c r="Z186" s="10">
        <f>Z185+Z184</f>
        <v>190516</v>
      </c>
      <c r="AA186" s="10">
        <f>AA185+AA184</f>
        <v>190516</v>
      </c>
      <c r="AB186" s="10">
        <f>AB185+AB184</f>
        <v>202596</v>
      </c>
      <c r="AC186" s="10">
        <f>AC185+AC184</f>
        <v>192730</v>
      </c>
      <c r="AD186" s="10">
        <f>AD185+AD184</f>
        <v>179308</v>
      </c>
    </row>
    <row r="188" spans="2:30" x14ac:dyDescent="0.2">
      <c r="B188" t="s">
        <v>9</v>
      </c>
      <c r="C188">
        <v>14057</v>
      </c>
      <c r="D188">
        <v>11579</v>
      </c>
      <c r="E188">
        <v>12399</v>
      </c>
      <c r="F188">
        <v>17874</v>
      </c>
      <c r="G188">
        <v>17874</v>
      </c>
      <c r="H188">
        <v>23440</v>
      </c>
      <c r="I188">
        <v>14324</v>
      </c>
      <c r="J188">
        <v>14104</v>
      </c>
      <c r="K188">
        <v>23186</v>
      </c>
      <c r="L188">
        <v>23186</v>
      </c>
      <c r="M188">
        <v>18077</v>
      </c>
      <c r="N188">
        <v>15085</v>
      </c>
      <c r="O188">
        <v>14148</v>
      </c>
      <c r="P188">
        <v>22926</v>
      </c>
      <c r="Q188">
        <v>22926</v>
      </c>
      <c r="R188">
        <v>20970</v>
      </c>
      <c r="S188">
        <v>15722</v>
      </c>
      <c r="T188">
        <v>17882</v>
      </c>
      <c r="U188">
        <v>16120</v>
      </c>
      <c r="V188">
        <v>16120</v>
      </c>
      <c r="W188">
        <v>27101</v>
      </c>
      <c r="X188">
        <v>18503</v>
      </c>
      <c r="Y188">
        <v>17475</v>
      </c>
      <c r="Z188">
        <v>26278</v>
      </c>
      <c r="AA188">
        <v>26278</v>
      </c>
      <c r="AB188">
        <v>30213</v>
      </c>
      <c r="AC188">
        <v>20815</v>
      </c>
      <c r="AD188">
        <v>21803</v>
      </c>
    </row>
    <row r="189" spans="2:30" x14ac:dyDescent="0.2">
      <c r="B189" t="s">
        <v>11</v>
      </c>
      <c r="C189">
        <v>13920</v>
      </c>
      <c r="D189">
        <v>9033</v>
      </c>
      <c r="E189">
        <v>10233</v>
      </c>
      <c r="F189">
        <v>17799</v>
      </c>
      <c r="G189">
        <v>17799</v>
      </c>
      <c r="H189">
        <v>27459</v>
      </c>
      <c r="I189">
        <v>8084</v>
      </c>
      <c r="J189">
        <v>12263</v>
      </c>
      <c r="K189">
        <v>25809</v>
      </c>
      <c r="L189">
        <v>25809</v>
      </c>
      <c r="M189">
        <v>18904</v>
      </c>
      <c r="N189">
        <v>11193</v>
      </c>
      <c r="O189">
        <v>12326</v>
      </c>
      <c r="P189">
        <v>22878</v>
      </c>
      <c r="Q189">
        <v>22878</v>
      </c>
      <c r="R189">
        <v>18976</v>
      </c>
      <c r="S189">
        <v>14955</v>
      </c>
      <c r="T189">
        <v>14193</v>
      </c>
      <c r="U189">
        <v>21325</v>
      </c>
      <c r="V189">
        <v>21325</v>
      </c>
      <c r="W189">
        <v>31519</v>
      </c>
      <c r="X189">
        <v>14533</v>
      </c>
      <c r="Y189">
        <v>16433</v>
      </c>
      <c r="Z189">
        <v>25228</v>
      </c>
      <c r="AA189">
        <v>25228</v>
      </c>
      <c r="AB189">
        <v>35040</v>
      </c>
      <c r="AC189">
        <v>24585</v>
      </c>
      <c r="AD189">
        <v>20439</v>
      </c>
    </row>
    <row r="190" spans="2:30" x14ac:dyDescent="0.2">
      <c r="B190" s="10" t="s">
        <v>269</v>
      </c>
      <c r="C190" s="10">
        <f>SUM(C188:C189)</f>
        <v>27977</v>
      </c>
      <c r="D190" s="10">
        <f t="shared" ref="D190:AD190" si="109">SUM(D188:D189)</f>
        <v>20612</v>
      </c>
      <c r="E190" s="10">
        <f>SUM(E188:E189)</f>
        <v>22632</v>
      </c>
      <c r="F190" s="10">
        <f t="shared" si="109"/>
        <v>35673</v>
      </c>
      <c r="G190" s="10">
        <f t="shared" si="109"/>
        <v>35673</v>
      </c>
      <c r="H190" s="10">
        <f t="shared" si="109"/>
        <v>50899</v>
      </c>
      <c r="I190" s="10">
        <f t="shared" si="109"/>
        <v>22408</v>
      </c>
      <c r="J190" s="10">
        <f t="shared" si="109"/>
        <v>26367</v>
      </c>
      <c r="K190" s="10">
        <f t="shared" si="109"/>
        <v>48995</v>
      </c>
      <c r="L190" s="10">
        <f t="shared" si="109"/>
        <v>48995</v>
      </c>
      <c r="M190" s="10">
        <f t="shared" si="109"/>
        <v>36981</v>
      </c>
      <c r="N190" s="10">
        <f t="shared" si="109"/>
        <v>26278</v>
      </c>
      <c r="O190" s="10">
        <f t="shared" si="109"/>
        <v>26474</v>
      </c>
      <c r="P190" s="10">
        <f t="shared" si="109"/>
        <v>45804</v>
      </c>
      <c r="Q190" s="10">
        <f t="shared" si="109"/>
        <v>45804</v>
      </c>
      <c r="R190" s="10">
        <f t="shared" si="109"/>
        <v>39946</v>
      </c>
      <c r="S190" s="10">
        <f t="shared" si="109"/>
        <v>30677</v>
      </c>
      <c r="T190" s="10">
        <f t="shared" si="109"/>
        <v>32075</v>
      </c>
      <c r="U190" s="10">
        <f t="shared" si="109"/>
        <v>37445</v>
      </c>
      <c r="V190" s="10">
        <f t="shared" si="109"/>
        <v>37445</v>
      </c>
      <c r="W190" s="10">
        <f t="shared" si="109"/>
        <v>58620</v>
      </c>
      <c r="X190" s="10">
        <f t="shared" si="109"/>
        <v>33036</v>
      </c>
      <c r="Y190" s="10">
        <f t="shared" si="109"/>
        <v>33908</v>
      </c>
      <c r="Z190" s="10">
        <f t="shared" si="109"/>
        <v>51506</v>
      </c>
      <c r="AA190" s="10">
        <f t="shared" si="109"/>
        <v>51506</v>
      </c>
      <c r="AB190" s="10">
        <f t="shared" si="109"/>
        <v>65253</v>
      </c>
      <c r="AC190" s="10">
        <f t="shared" si="109"/>
        <v>45400</v>
      </c>
      <c r="AD190" s="10">
        <f t="shared" si="109"/>
        <v>42242</v>
      </c>
    </row>
    <row r="192" spans="2:30" x14ac:dyDescent="0.2">
      <c r="B192" t="s">
        <v>10</v>
      </c>
      <c r="C192">
        <v>2712</v>
      </c>
      <c r="D192">
        <v>2910</v>
      </c>
      <c r="E192">
        <v>3146</v>
      </c>
      <c r="F192">
        <v>4855</v>
      </c>
      <c r="G192">
        <v>4855</v>
      </c>
      <c r="H192">
        <v>4421</v>
      </c>
      <c r="I192">
        <v>7662</v>
      </c>
      <c r="J192">
        <v>5936</v>
      </c>
      <c r="K192">
        <v>3956</v>
      </c>
      <c r="L192">
        <v>3956</v>
      </c>
      <c r="M192">
        <v>4988</v>
      </c>
      <c r="N192">
        <v>4884</v>
      </c>
      <c r="O192">
        <v>3355</v>
      </c>
      <c r="P192">
        <v>4106</v>
      </c>
      <c r="Q192">
        <v>4106</v>
      </c>
      <c r="R192">
        <v>4097</v>
      </c>
      <c r="S192">
        <v>3334</v>
      </c>
      <c r="T192">
        <v>3978</v>
      </c>
      <c r="U192">
        <v>4061</v>
      </c>
      <c r="V192">
        <v>4061</v>
      </c>
      <c r="W192">
        <v>4973</v>
      </c>
      <c r="X192">
        <v>5219</v>
      </c>
      <c r="Y192">
        <v>5178</v>
      </c>
      <c r="Z192">
        <v>6580</v>
      </c>
      <c r="AA192">
        <v>6580</v>
      </c>
      <c r="AB192">
        <v>5876</v>
      </c>
      <c r="AC192">
        <v>5460</v>
      </c>
      <c r="AD192">
        <v>5433</v>
      </c>
    </row>
    <row r="194" spans="2:30" x14ac:dyDescent="0.2">
      <c r="B194" t="s">
        <v>248</v>
      </c>
      <c r="C194">
        <v>45309</v>
      </c>
      <c r="D194">
        <v>46688</v>
      </c>
      <c r="E194">
        <v>49491</v>
      </c>
      <c r="F194">
        <v>54210</v>
      </c>
      <c r="G194">
        <v>54210</v>
      </c>
      <c r="H194">
        <v>55479</v>
      </c>
      <c r="I194">
        <v>57784</v>
      </c>
      <c r="J194">
        <v>62060</v>
      </c>
      <c r="K194">
        <v>65982</v>
      </c>
      <c r="L194">
        <v>65982</v>
      </c>
      <c r="M194">
        <v>66823</v>
      </c>
      <c r="N194">
        <v>68139</v>
      </c>
      <c r="O194">
        <v>68529</v>
      </c>
      <c r="P194">
        <v>69797</v>
      </c>
      <c r="Q194">
        <v>69797</v>
      </c>
      <c r="R194">
        <v>70841</v>
      </c>
      <c r="S194">
        <v>71273</v>
      </c>
      <c r="T194">
        <v>72982</v>
      </c>
      <c r="U194">
        <v>75291</v>
      </c>
      <c r="V194">
        <v>75291</v>
      </c>
      <c r="W194">
        <v>76224</v>
      </c>
      <c r="X194">
        <v>77841</v>
      </c>
      <c r="Y194">
        <v>78981</v>
      </c>
      <c r="Z194">
        <v>78659</v>
      </c>
      <c r="AA194">
        <v>78659</v>
      </c>
    </row>
    <row r="195" spans="2:30" x14ac:dyDescent="0.2">
      <c r="B195" t="s">
        <v>249</v>
      </c>
      <c r="C195">
        <v>6518</v>
      </c>
      <c r="D195">
        <v>6690</v>
      </c>
      <c r="E195">
        <v>6961</v>
      </c>
      <c r="F195">
        <v>7279</v>
      </c>
      <c r="G195">
        <v>7279</v>
      </c>
      <c r="H195">
        <v>7442</v>
      </c>
      <c r="I195">
        <v>7787</v>
      </c>
      <c r="J195">
        <v>7899</v>
      </c>
      <c r="K195">
        <v>8205</v>
      </c>
      <c r="L195">
        <v>8205</v>
      </c>
      <c r="M195">
        <v>8351</v>
      </c>
      <c r="N195">
        <v>8589</v>
      </c>
      <c r="O195">
        <v>8895</v>
      </c>
      <c r="P195">
        <v>9075</v>
      </c>
      <c r="Q195">
        <v>9075</v>
      </c>
      <c r="R195">
        <v>9395</v>
      </c>
      <c r="S195">
        <v>9614</v>
      </c>
      <c r="T195">
        <v>9867</v>
      </c>
      <c r="U195">
        <v>10283</v>
      </c>
      <c r="V195">
        <v>10283</v>
      </c>
      <c r="W195">
        <v>10384</v>
      </c>
      <c r="X195">
        <v>10439</v>
      </c>
      <c r="Y195">
        <v>10727</v>
      </c>
      <c r="Z195">
        <v>11023</v>
      </c>
      <c r="AA195">
        <v>11023</v>
      </c>
    </row>
    <row r="196" spans="2:30" x14ac:dyDescent="0.2">
      <c r="B196" t="s">
        <v>250</v>
      </c>
      <c r="C196">
        <v>10932</v>
      </c>
      <c r="D196">
        <v>11746</v>
      </c>
      <c r="E196">
        <v>12529</v>
      </c>
      <c r="F196">
        <v>13587</v>
      </c>
      <c r="G196">
        <v>13587</v>
      </c>
      <c r="H196">
        <v>14189</v>
      </c>
      <c r="I196">
        <v>14931</v>
      </c>
      <c r="J196">
        <v>15409</v>
      </c>
      <c r="K196">
        <v>16216</v>
      </c>
      <c r="L196">
        <v>16216</v>
      </c>
      <c r="M196">
        <v>16352</v>
      </c>
      <c r="N196">
        <v>16308</v>
      </c>
      <c r="O196">
        <v>16560</v>
      </c>
      <c r="P196">
        <v>17085</v>
      </c>
      <c r="Q196">
        <v>17085</v>
      </c>
      <c r="R196">
        <v>17754</v>
      </c>
      <c r="S196">
        <v>17856</v>
      </c>
      <c r="T196">
        <v>18068</v>
      </c>
      <c r="U196">
        <v>17952</v>
      </c>
      <c r="V196">
        <v>17952</v>
      </c>
      <c r="W196">
        <v>18885</v>
      </c>
      <c r="X196">
        <v>19000</v>
      </c>
      <c r="Y196">
        <v>19149</v>
      </c>
      <c r="Z196">
        <v>20041</v>
      </c>
      <c r="AA196">
        <v>20041</v>
      </c>
    </row>
    <row r="197" spans="2:30" x14ac:dyDescent="0.2">
      <c r="B197" s="10" t="s">
        <v>251</v>
      </c>
      <c r="C197" s="10">
        <f t="shared" ref="C197:AA197" si="110">SUM(C194:C196)</f>
        <v>62759</v>
      </c>
      <c r="D197" s="10">
        <f t="shared" si="110"/>
        <v>65124</v>
      </c>
      <c r="E197" s="10">
        <f>SUM(E194:E196)</f>
        <v>68981</v>
      </c>
      <c r="F197" s="10">
        <f t="shared" si="110"/>
        <v>75076</v>
      </c>
      <c r="G197" s="10">
        <f t="shared" si="110"/>
        <v>75076</v>
      </c>
      <c r="H197" s="10">
        <f t="shared" si="110"/>
        <v>77110</v>
      </c>
      <c r="I197" s="10">
        <f t="shared" si="110"/>
        <v>80502</v>
      </c>
      <c r="J197" s="10">
        <f t="shared" si="110"/>
        <v>85368</v>
      </c>
      <c r="K197" s="10">
        <f t="shared" si="110"/>
        <v>90403</v>
      </c>
      <c r="L197" s="10">
        <f t="shared" si="110"/>
        <v>90403</v>
      </c>
      <c r="M197" s="10">
        <f t="shared" si="110"/>
        <v>91526</v>
      </c>
      <c r="N197" s="10">
        <f t="shared" si="110"/>
        <v>93036</v>
      </c>
      <c r="O197" s="10">
        <f t="shared" si="110"/>
        <v>93984</v>
      </c>
      <c r="P197" s="10">
        <f t="shared" si="110"/>
        <v>95957</v>
      </c>
      <c r="Q197" s="10">
        <f t="shared" si="110"/>
        <v>95957</v>
      </c>
      <c r="R197" s="10">
        <f t="shared" si="110"/>
        <v>97990</v>
      </c>
      <c r="S197" s="10">
        <f t="shared" si="110"/>
        <v>98743</v>
      </c>
      <c r="T197" s="10">
        <f t="shared" si="110"/>
        <v>100917</v>
      </c>
      <c r="U197" s="10">
        <f t="shared" si="110"/>
        <v>103526</v>
      </c>
      <c r="V197" s="10">
        <f t="shared" si="110"/>
        <v>103526</v>
      </c>
      <c r="W197" s="10">
        <f>SUM(W194:W196)</f>
        <v>105493</v>
      </c>
      <c r="X197" s="10">
        <f t="shared" si="110"/>
        <v>107280</v>
      </c>
      <c r="Y197" s="10">
        <f t="shared" si="110"/>
        <v>108857</v>
      </c>
      <c r="Z197" s="10">
        <f t="shared" si="110"/>
        <v>109723</v>
      </c>
      <c r="AA197" s="10">
        <f t="shared" si="110"/>
        <v>109723</v>
      </c>
      <c r="AB197" s="10">
        <v>107699</v>
      </c>
      <c r="AC197" s="10">
        <v>109324</v>
      </c>
      <c r="AD197" s="10">
        <v>111851</v>
      </c>
    </row>
    <row r="198" spans="2:30" x14ac:dyDescent="0.2">
      <c r="B198" t="s">
        <v>252</v>
      </c>
      <c r="C198">
        <v>36249</v>
      </c>
      <c r="D198">
        <v>37961</v>
      </c>
      <c r="E198">
        <v>39695</v>
      </c>
      <c r="F198">
        <v>41293</v>
      </c>
      <c r="G198">
        <v>41293</v>
      </c>
      <c r="H198">
        <v>43431</v>
      </c>
      <c r="I198">
        <v>45425</v>
      </c>
      <c r="J198">
        <v>47251</v>
      </c>
      <c r="K198">
        <v>49099</v>
      </c>
      <c r="L198">
        <v>49099</v>
      </c>
      <c r="M198">
        <v>51929</v>
      </c>
      <c r="N198">
        <v>54290</v>
      </c>
      <c r="O198">
        <v>56348</v>
      </c>
      <c r="P198">
        <v>58579</v>
      </c>
      <c r="Q198">
        <v>58579</v>
      </c>
      <c r="R198">
        <v>60959</v>
      </c>
      <c r="S198">
        <v>62854</v>
      </c>
      <c r="T198">
        <v>65230</v>
      </c>
      <c r="U198">
        <v>66760</v>
      </c>
      <c r="V198">
        <v>66760</v>
      </c>
      <c r="W198">
        <v>67560</v>
      </c>
      <c r="X198">
        <v>69465</v>
      </c>
      <c r="Y198">
        <v>70242</v>
      </c>
      <c r="Z198">
        <v>70283</v>
      </c>
      <c r="AA198">
        <v>70283</v>
      </c>
      <c r="AB198">
        <v>68454</v>
      </c>
      <c r="AC198">
        <v>70020</v>
      </c>
      <c r="AD198">
        <v>71516</v>
      </c>
    </row>
    <row r="199" spans="2:30" x14ac:dyDescent="0.2">
      <c r="B199" s="10" t="s">
        <v>253</v>
      </c>
      <c r="C199" s="10">
        <v>26510</v>
      </c>
      <c r="D199" s="10">
        <v>27163</v>
      </c>
      <c r="E199" s="10">
        <v>29286</v>
      </c>
      <c r="F199" s="10">
        <v>33783</v>
      </c>
      <c r="G199" s="10">
        <v>33783</v>
      </c>
      <c r="H199" s="10">
        <v>33679</v>
      </c>
      <c r="I199" s="10">
        <v>35077</v>
      </c>
      <c r="J199" s="10">
        <v>38117</v>
      </c>
      <c r="K199" s="10">
        <v>41304</v>
      </c>
      <c r="L199" s="10">
        <v>41304</v>
      </c>
      <c r="M199" s="10">
        <v>39597</v>
      </c>
      <c r="N199" s="10">
        <v>38746</v>
      </c>
      <c r="O199" s="10">
        <v>37636</v>
      </c>
      <c r="P199" s="10">
        <v>37378</v>
      </c>
      <c r="Q199" s="10">
        <v>37378</v>
      </c>
      <c r="R199" s="10">
        <v>37031</v>
      </c>
      <c r="S199" s="10">
        <v>35889</v>
      </c>
      <c r="T199" s="10">
        <v>35687</v>
      </c>
      <c r="U199" s="10">
        <v>36766</v>
      </c>
      <c r="V199" s="10">
        <v>36766</v>
      </c>
      <c r="W199" s="10">
        <v>37933</v>
      </c>
      <c r="X199" s="10">
        <v>37815</v>
      </c>
      <c r="Y199" s="10">
        <v>38615</v>
      </c>
      <c r="Z199" s="10">
        <v>39440</v>
      </c>
      <c r="AA199" s="10">
        <v>39440</v>
      </c>
      <c r="AB199" s="10">
        <v>39245</v>
      </c>
      <c r="AC199" s="10">
        <v>39304</v>
      </c>
      <c r="AD199" s="10">
        <v>40335</v>
      </c>
    </row>
    <row r="201" spans="2:30" x14ac:dyDescent="0.2">
      <c r="B201" t="s">
        <v>188</v>
      </c>
      <c r="C201">
        <v>12191</v>
      </c>
      <c r="D201">
        <v>11367</v>
      </c>
      <c r="E201">
        <v>10338</v>
      </c>
      <c r="F201">
        <v>13936</v>
      </c>
      <c r="G201">
        <v>13936</v>
      </c>
      <c r="H201">
        <v>11337</v>
      </c>
      <c r="I201">
        <v>12043</v>
      </c>
      <c r="J201">
        <v>12488</v>
      </c>
      <c r="K201">
        <v>12087</v>
      </c>
      <c r="L201">
        <v>12087</v>
      </c>
      <c r="M201">
        <v>12432</v>
      </c>
      <c r="N201">
        <v>12092</v>
      </c>
      <c r="O201">
        <v>10530</v>
      </c>
      <c r="P201">
        <v>12352</v>
      </c>
      <c r="Q201">
        <v>12352</v>
      </c>
      <c r="R201">
        <v>12026</v>
      </c>
      <c r="S201">
        <v>15691</v>
      </c>
      <c r="T201">
        <v>10987</v>
      </c>
      <c r="U201">
        <v>11264</v>
      </c>
      <c r="V201">
        <v>11264</v>
      </c>
      <c r="W201">
        <v>13687</v>
      </c>
      <c r="X201">
        <v>13376</v>
      </c>
      <c r="Y201">
        <v>13641</v>
      </c>
      <c r="Z201">
        <v>14111</v>
      </c>
      <c r="AA201">
        <v>14111</v>
      </c>
      <c r="AB201">
        <v>18112</v>
      </c>
      <c r="AC201">
        <v>15809</v>
      </c>
      <c r="AD201">
        <v>16386</v>
      </c>
    </row>
    <row r="202" spans="2:30" x14ac:dyDescent="0.2">
      <c r="B202" t="s">
        <v>194</v>
      </c>
      <c r="C202">
        <v>7390</v>
      </c>
      <c r="D202">
        <v>7549</v>
      </c>
      <c r="E202">
        <v>10150</v>
      </c>
      <c r="F202">
        <v>10162</v>
      </c>
      <c r="G202">
        <v>10162</v>
      </c>
      <c r="H202">
        <v>13323</v>
      </c>
      <c r="I202">
        <v>23086</v>
      </c>
      <c r="J202">
        <v>22546</v>
      </c>
      <c r="K202">
        <v>22283</v>
      </c>
      <c r="L202">
        <v>22283</v>
      </c>
      <c r="M202">
        <v>34686</v>
      </c>
      <c r="N202">
        <v>34587</v>
      </c>
      <c r="O202">
        <v>33634</v>
      </c>
      <c r="P202">
        <v>32978</v>
      </c>
      <c r="Q202">
        <v>32978</v>
      </c>
      <c r="R202">
        <v>40457</v>
      </c>
      <c r="S202">
        <v>41965</v>
      </c>
      <c r="T202">
        <v>41000</v>
      </c>
      <c r="U202">
        <v>42522</v>
      </c>
      <c r="V202">
        <v>42522</v>
      </c>
      <c r="W202">
        <v>43270</v>
      </c>
      <c r="X202">
        <v>43339</v>
      </c>
      <c r="Y202">
        <v>44854</v>
      </c>
      <c r="Z202">
        <v>48849</v>
      </c>
      <c r="AA202">
        <v>48849</v>
      </c>
      <c r="AB202">
        <v>50109</v>
      </c>
      <c r="AC202">
        <v>51959</v>
      </c>
      <c r="AD202">
        <v>52605</v>
      </c>
    </row>
    <row r="204" spans="2:30" x14ac:dyDescent="0.2">
      <c r="B204" t="s">
        <v>268</v>
      </c>
      <c r="C204">
        <v>8271</v>
      </c>
      <c r="D204">
        <v>8090</v>
      </c>
      <c r="E204">
        <v>8105</v>
      </c>
      <c r="F204">
        <v>8015</v>
      </c>
      <c r="G204">
        <v>8015</v>
      </c>
      <c r="H204">
        <v>8038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</row>
    <row r="206" spans="2:30" x14ac:dyDescent="0.2">
      <c r="B206" t="s">
        <v>196</v>
      </c>
      <c r="C206">
        <f>C186+C190+C192+C199+C201+C202+C204</f>
        <v>331141</v>
      </c>
      <c r="D206">
        <f t="shared" ref="D206:AD206" si="111">D186+D190+D192+D199+D201+D202+D204</f>
        <v>334532</v>
      </c>
      <c r="E206">
        <f>E186+E190+E192+E199+E201+E202+E204</f>
        <v>345173</v>
      </c>
      <c r="F206">
        <f t="shared" si="111"/>
        <v>375319</v>
      </c>
      <c r="G206">
        <f t="shared" si="111"/>
        <v>375319</v>
      </c>
      <c r="H206">
        <f t="shared" si="111"/>
        <v>406794</v>
      </c>
      <c r="I206">
        <f t="shared" si="111"/>
        <v>367502</v>
      </c>
      <c r="J206">
        <f t="shared" si="111"/>
        <v>349197</v>
      </c>
      <c r="K206">
        <f t="shared" si="111"/>
        <v>365725</v>
      </c>
      <c r="L206">
        <f t="shared" si="111"/>
        <v>365725</v>
      </c>
      <c r="M206">
        <f t="shared" si="111"/>
        <v>373719</v>
      </c>
      <c r="N206">
        <f t="shared" si="111"/>
        <v>341998</v>
      </c>
      <c r="O206">
        <f t="shared" si="111"/>
        <v>322239</v>
      </c>
      <c r="P206">
        <f t="shared" si="111"/>
        <v>338516</v>
      </c>
      <c r="Q206">
        <f t="shared" si="111"/>
        <v>338516</v>
      </c>
      <c r="R206">
        <f t="shared" si="111"/>
        <v>340618</v>
      </c>
      <c r="S206">
        <f t="shared" si="111"/>
        <v>320400</v>
      </c>
      <c r="T206">
        <f t="shared" si="111"/>
        <v>317344</v>
      </c>
      <c r="U206">
        <f t="shared" si="111"/>
        <v>323888</v>
      </c>
      <c r="V206">
        <f t="shared" si="111"/>
        <v>323888</v>
      </c>
      <c r="W206">
        <f t="shared" si="111"/>
        <v>354054</v>
      </c>
      <c r="X206">
        <f t="shared" si="111"/>
        <v>337158</v>
      </c>
      <c r="Y206">
        <f t="shared" si="111"/>
        <v>329840</v>
      </c>
      <c r="Z206">
        <f t="shared" si="111"/>
        <v>351002</v>
      </c>
      <c r="AA206">
        <f t="shared" si="111"/>
        <v>351002</v>
      </c>
      <c r="AB206">
        <f t="shared" si="111"/>
        <v>381191</v>
      </c>
      <c r="AC206">
        <f t="shared" si="111"/>
        <v>350662</v>
      </c>
      <c r="AD206">
        <f t="shared" si="111"/>
        <v>336309</v>
      </c>
    </row>
    <row r="208" spans="2:30" x14ac:dyDescent="0.2">
      <c r="B208" s="37" t="s">
        <v>278</v>
      </c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  <c r="AA208" s="37"/>
      <c r="AB208" s="37"/>
      <c r="AC208" s="37"/>
      <c r="AD208" s="37"/>
    </row>
    <row r="209" spans="2:30" x14ac:dyDescent="0.2">
      <c r="AA209">
        <f>AA210-V210</f>
        <v>969</v>
      </c>
    </row>
    <row r="210" spans="2:30" x14ac:dyDescent="0.2">
      <c r="B210" t="s">
        <v>274</v>
      </c>
      <c r="C210">
        <v>7889</v>
      </c>
      <c r="D210">
        <v>7682</v>
      </c>
      <c r="E210">
        <v>7608</v>
      </c>
      <c r="F210">
        <v>7548</v>
      </c>
      <c r="G210">
        <v>7548</v>
      </c>
      <c r="H210">
        <v>8044</v>
      </c>
      <c r="I210">
        <v>7775</v>
      </c>
      <c r="J210">
        <v>7403</v>
      </c>
      <c r="K210">
        <v>7543</v>
      </c>
      <c r="L210">
        <v>7543</v>
      </c>
      <c r="M210">
        <v>5546</v>
      </c>
      <c r="N210">
        <v>5532</v>
      </c>
      <c r="O210">
        <v>5434</v>
      </c>
      <c r="P210">
        <v>5522</v>
      </c>
      <c r="Q210">
        <v>5522</v>
      </c>
      <c r="R210">
        <v>5573</v>
      </c>
      <c r="S210">
        <v>5928</v>
      </c>
      <c r="T210">
        <v>6313</v>
      </c>
      <c r="U210">
        <v>6643</v>
      </c>
      <c r="V210">
        <v>6643</v>
      </c>
      <c r="W210">
        <v>7395</v>
      </c>
      <c r="X210">
        <v>7595</v>
      </c>
      <c r="Y210">
        <v>7681</v>
      </c>
      <c r="Z210">
        <v>7612</v>
      </c>
      <c r="AA210">
        <v>7612</v>
      </c>
      <c r="AB210">
        <v>7876</v>
      </c>
      <c r="AC210">
        <v>7920</v>
      </c>
      <c r="AD210">
        <v>7728</v>
      </c>
    </row>
    <row r="211" spans="2:30" x14ac:dyDescent="0.2">
      <c r="B211" t="s">
        <v>275</v>
      </c>
      <c r="C211">
        <v>3163</v>
      </c>
      <c r="D211">
        <v>3107</v>
      </c>
      <c r="E211">
        <v>2984</v>
      </c>
      <c r="F211">
        <v>2836</v>
      </c>
      <c r="G211">
        <v>2836</v>
      </c>
      <c r="H211">
        <v>3131</v>
      </c>
      <c r="I211">
        <v>3087</v>
      </c>
      <c r="J211">
        <v>2878</v>
      </c>
      <c r="K211">
        <v>2797</v>
      </c>
      <c r="L211">
        <v>2797</v>
      </c>
    </row>
    <row r="212" spans="2:30" x14ac:dyDescent="0.2">
      <c r="B212" s="10" t="s">
        <v>276</v>
      </c>
      <c r="C212" s="10">
        <f>SUM(C210:C211)</f>
        <v>11052</v>
      </c>
      <c r="D212" s="10">
        <f t="shared" ref="D212:AD212" si="112">SUM(D210:D211)</f>
        <v>10789</v>
      </c>
      <c r="E212" s="10">
        <f>SUM(E210:E211)</f>
        <v>10592</v>
      </c>
      <c r="F212" s="10">
        <f t="shared" si="112"/>
        <v>10384</v>
      </c>
      <c r="G212" s="10">
        <f t="shared" si="112"/>
        <v>10384</v>
      </c>
      <c r="H212" s="10">
        <f t="shared" si="112"/>
        <v>11175</v>
      </c>
      <c r="I212" s="10">
        <f t="shared" si="112"/>
        <v>10862</v>
      </c>
      <c r="J212" s="10">
        <f t="shared" si="112"/>
        <v>10281</v>
      </c>
      <c r="K212" s="10">
        <f t="shared" si="112"/>
        <v>10340</v>
      </c>
      <c r="L212" s="10">
        <f t="shared" si="112"/>
        <v>10340</v>
      </c>
      <c r="M212" s="10">
        <f t="shared" si="112"/>
        <v>5546</v>
      </c>
      <c r="N212" s="10">
        <f t="shared" si="112"/>
        <v>5532</v>
      </c>
      <c r="O212" s="10">
        <f t="shared" si="112"/>
        <v>5434</v>
      </c>
      <c r="P212" s="10">
        <f t="shared" si="112"/>
        <v>5522</v>
      </c>
      <c r="Q212" s="10">
        <f t="shared" si="112"/>
        <v>5522</v>
      </c>
      <c r="R212" s="10">
        <f t="shared" si="112"/>
        <v>5573</v>
      </c>
      <c r="S212" s="10">
        <f t="shared" si="112"/>
        <v>5928</v>
      </c>
      <c r="T212" s="10">
        <f t="shared" si="112"/>
        <v>6313</v>
      </c>
      <c r="U212" s="10">
        <f t="shared" si="112"/>
        <v>6643</v>
      </c>
      <c r="V212" s="10">
        <f t="shared" si="112"/>
        <v>6643</v>
      </c>
      <c r="W212" s="10">
        <f t="shared" si="112"/>
        <v>7395</v>
      </c>
      <c r="X212" s="10">
        <f t="shared" si="112"/>
        <v>7595</v>
      </c>
      <c r="Y212" s="10">
        <f t="shared" si="112"/>
        <v>7681</v>
      </c>
      <c r="Z212" s="10">
        <f t="shared" si="112"/>
        <v>7612</v>
      </c>
      <c r="AA212" s="10">
        <f t="shared" si="112"/>
        <v>7612</v>
      </c>
      <c r="AB212" s="10">
        <f t="shared" si="112"/>
        <v>7876</v>
      </c>
      <c r="AC212" s="10">
        <f t="shared" si="112"/>
        <v>7920</v>
      </c>
      <c r="AD212" s="10">
        <f t="shared" si="112"/>
        <v>7728</v>
      </c>
    </row>
    <row r="213" spans="2:30" x14ac:dyDescent="0.2">
      <c r="B213" t="s">
        <v>13</v>
      </c>
      <c r="C213">
        <v>62249</v>
      </c>
      <c r="D213">
        <v>51669</v>
      </c>
      <c r="E213">
        <v>55219</v>
      </c>
      <c r="F213">
        <v>74793</v>
      </c>
      <c r="G213">
        <v>74793</v>
      </c>
      <c r="H213">
        <v>89266</v>
      </c>
      <c r="I213">
        <v>61067</v>
      </c>
      <c r="J213">
        <v>63673</v>
      </c>
      <c r="K213">
        <v>55888</v>
      </c>
      <c r="L213">
        <v>55888</v>
      </c>
      <c r="M213">
        <v>44293</v>
      </c>
      <c r="N213">
        <v>30443</v>
      </c>
      <c r="O213">
        <v>29115</v>
      </c>
      <c r="P213">
        <v>46236</v>
      </c>
      <c r="Q213">
        <v>46236</v>
      </c>
      <c r="R213">
        <v>45111</v>
      </c>
      <c r="S213">
        <v>32421</v>
      </c>
      <c r="T213">
        <v>35325</v>
      </c>
      <c r="U213">
        <v>42296</v>
      </c>
      <c r="V213">
        <v>42296</v>
      </c>
      <c r="W213">
        <v>63846</v>
      </c>
      <c r="X213">
        <v>40127</v>
      </c>
      <c r="Y213">
        <v>40409</v>
      </c>
      <c r="Z213">
        <v>54763</v>
      </c>
      <c r="AA213">
        <v>54763</v>
      </c>
      <c r="AB213">
        <v>74362</v>
      </c>
      <c r="AC213">
        <v>52682</v>
      </c>
      <c r="AD213">
        <v>48343</v>
      </c>
    </row>
    <row r="214" spans="2:30" x14ac:dyDescent="0.2">
      <c r="B214" s="10" t="s">
        <v>277</v>
      </c>
      <c r="C214" s="10">
        <f>SUM(C212:C213)</f>
        <v>73301</v>
      </c>
      <c r="D214" s="10">
        <f t="shared" ref="D214:AD214" si="113">SUM(D212:D213)</f>
        <v>62458</v>
      </c>
      <c r="E214" s="10">
        <f>SUM(E212:E213)</f>
        <v>65811</v>
      </c>
      <c r="F214" s="10">
        <f t="shared" si="113"/>
        <v>85177</v>
      </c>
      <c r="G214" s="10">
        <f t="shared" si="113"/>
        <v>85177</v>
      </c>
      <c r="H214" s="10">
        <f t="shared" si="113"/>
        <v>100441</v>
      </c>
      <c r="I214" s="10">
        <f t="shared" si="113"/>
        <v>71929</v>
      </c>
      <c r="J214" s="10">
        <f t="shared" si="113"/>
        <v>73954</v>
      </c>
      <c r="K214" s="10">
        <f t="shared" si="113"/>
        <v>66228</v>
      </c>
      <c r="L214" s="10">
        <f t="shared" si="113"/>
        <v>66228</v>
      </c>
      <c r="M214" s="10">
        <f t="shared" si="113"/>
        <v>49839</v>
      </c>
      <c r="N214" s="10">
        <f t="shared" si="113"/>
        <v>35975</v>
      </c>
      <c r="O214" s="10">
        <f t="shared" si="113"/>
        <v>34549</v>
      </c>
      <c r="P214" s="10">
        <f t="shared" si="113"/>
        <v>51758</v>
      </c>
      <c r="Q214" s="10">
        <f t="shared" si="113"/>
        <v>51758</v>
      </c>
      <c r="R214" s="10">
        <f t="shared" si="113"/>
        <v>50684</v>
      </c>
      <c r="S214" s="10">
        <f t="shared" si="113"/>
        <v>38349</v>
      </c>
      <c r="T214" s="10">
        <f t="shared" si="113"/>
        <v>41638</v>
      </c>
      <c r="U214" s="10">
        <f t="shared" si="113"/>
        <v>48939</v>
      </c>
      <c r="V214" s="10">
        <f t="shared" si="113"/>
        <v>48939</v>
      </c>
      <c r="W214" s="10">
        <f t="shared" si="113"/>
        <v>71241</v>
      </c>
      <c r="X214" s="10">
        <f t="shared" si="113"/>
        <v>47722</v>
      </c>
      <c r="Y214" s="10">
        <f t="shared" si="113"/>
        <v>48090</v>
      </c>
      <c r="Z214" s="10">
        <f t="shared" si="113"/>
        <v>62375</v>
      </c>
      <c r="AA214" s="10">
        <f t="shared" si="113"/>
        <v>62375</v>
      </c>
      <c r="AB214" s="10">
        <f t="shared" si="113"/>
        <v>82238</v>
      </c>
      <c r="AC214" s="10">
        <f t="shared" si="113"/>
        <v>60602</v>
      </c>
      <c r="AD214" s="10">
        <f t="shared" si="113"/>
        <v>56071</v>
      </c>
    </row>
    <row r="216" spans="2:30" x14ac:dyDescent="0.2">
      <c r="B216" t="s">
        <v>199</v>
      </c>
      <c r="C216">
        <v>10493</v>
      </c>
      <c r="D216">
        <v>9992</v>
      </c>
      <c r="E216">
        <v>11980</v>
      </c>
      <c r="F216">
        <v>11977</v>
      </c>
      <c r="G216">
        <v>11977</v>
      </c>
      <c r="H216">
        <v>11980</v>
      </c>
      <c r="I216">
        <v>11980</v>
      </c>
      <c r="J216">
        <v>11974</v>
      </c>
      <c r="K216">
        <v>11964</v>
      </c>
      <c r="L216">
        <v>11964</v>
      </c>
      <c r="M216">
        <v>11969</v>
      </c>
      <c r="N216">
        <v>11924</v>
      </c>
      <c r="O216">
        <v>9953</v>
      </c>
      <c r="P216">
        <v>5980</v>
      </c>
      <c r="Q216">
        <v>5980</v>
      </c>
      <c r="R216">
        <v>4990</v>
      </c>
      <c r="S216">
        <v>10029</v>
      </c>
      <c r="T216">
        <v>11166</v>
      </c>
      <c r="U216">
        <v>4996</v>
      </c>
      <c r="V216">
        <v>4996</v>
      </c>
      <c r="W216">
        <v>5000</v>
      </c>
      <c r="X216">
        <v>5000</v>
      </c>
      <c r="Y216">
        <v>8000</v>
      </c>
      <c r="Z216">
        <v>6000</v>
      </c>
      <c r="AA216">
        <v>6000</v>
      </c>
      <c r="AB216">
        <v>5000</v>
      </c>
      <c r="AC216">
        <v>6999</v>
      </c>
      <c r="AD216">
        <v>10982</v>
      </c>
    </row>
    <row r="217" spans="2:30" x14ac:dyDescent="0.2">
      <c r="B217" t="s">
        <v>139</v>
      </c>
      <c r="C217">
        <v>3499</v>
      </c>
      <c r="D217">
        <v>3999</v>
      </c>
      <c r="E217">
        <v>6495</v>
      </c>
      <c r="F217">
        <v>6496</v>
      </c>
      <c r="G217">
        <v>6496</v>
      </c>
      <c r="H217">
        <v>6498</v>
      </c>
      <c r="I217">
        <v>8498</v>
      </c>
      <c r="J217">
        <v>5498</v>
      </c>
      <c r="K217">
        <v>8784</v>
      </c>
      <c r="L217">
        <v>8784</v>
      </c>
      <c r="M217">
        <v>9772</v>
      </c>
      <c r="N217">
        <v>10505</v>
      </c>
      <c r="O217">
        <v>13529</v>
      </c>
      <c r="P217">
        <v>10260</v>
      </c>
      <c r="Q217">
        <v>10260</v>
      </c>
      <c r="R217">
        <v>10224</v>
      </c>
      <c r="S217">
        <v>10392</v>
      </c>
      <c r="T217">
        <v>7509</v>
      </c>
      <c r="U217">
        <v>8773</v>
      </c>
      <c r="V217">
        <v>8773</v>
      </c>
      <c r="W217">
        <v>7762</v>
      </c>
      <c r="X217">
        <v>8003</v>
      </c>
      <c r="Y217">
        <v>8039</v>
      </c>
      <c r="Z217">
        <v>9613</v>
      </c>
      <c r="AA217">
        <v>9613</v>
      </c>
      <c r="AB217">
        <v>11169</v>
      </c>
      <c r="AC217">
        <v>9659</v>
      </c>
      <c r="AD217">
        <v>14009</v>
      </c>
    </row>
    <row r="218" spans="2:30" x14ac:dyDescent="0.2">
      <c r="B218" t="s">
        <v>140</v>
      </c>
      <c r="C218">
        <v>73557</v>
      </c>
      <c r="D218">
        <v>84531</v>
      </c>
      <c r="E218">
        <v>89864</v>
      </c>
      <c r="F218">
        <v>97207</v>
      </c>
      <c r="G218">
        <v>97207</v>
      </c>
      <c r="H218">
        <v>103922</v>
      </c>
      <c r="I218">
        <v>101362</v>
      </c>
      <c r="J218">
        <v>97128</v>
      </c>
      <c r="K218">
        <v>93735</v>
      </c>
      <c r="L218">
        <v>93735</v>
      </c>
      <c r="M218">
        <v>92989</v>
      </c>
      <c r="N218">
        <v>90201</v>
      </c>
      <c r="O218">
        <v>84936</v>
      </c>
      <c r="P218">
        <v>91807</v>
      </c>
      <c r="Q218">
        <v>91807</v>
      </c>
      <c r="R218">
        <v>93078</v>
      </c>
      <c r="S218">
        <v>89086</v>
      </c>
      <c r="T218">
        <v>94048</v>
      </c>
      <c r="U218">
        <v>98667</v>
      </c>
      <c r="V218">
        <v>98667</v>
      </c>
      <c r="W218">
        <v>99281</v>
      </c>
      <c r="X218">
        <v>108642</v>
      </c>
      <c r="Y218">
        <v>105752</v>
      </c>
      <c r="Z218">
        <v>109106</v>
      </c>
      <c r="AA218">
        <v>109106</v>
      </c>
      <c r="AB218">
        <v>106629</v>
      </c>
      <c r="AC218">
        <v>103323</v>
      </c>
      <c r="AD218">
        <v>94700</v>
      </c>
    </row>
    <row r="219" spans="2:30" x14ac:dyDescent="0.2">
      <c r="B219" s="10" t="s">
        <v>355</v>
      </c>
      <c r="C219" s="10">
        <f>SUM(C216:C218)</f>
        <v>87549</v>
      </c>
      <c r="D219" s="10">
        <f>SUM(D216:D218)</f>
        <v>98522</v>
      </c>
      <c r="E219" s="10">
        <f>SUM(E216:E218)</f>
        <v>108339</v>
      </c>
      <c r="F219" s="10">
        <f>SUM(F216:F218)</f>
        <v>115680</v>
      </c>
      <c r="G219" s="10">
        <f>SUM(G216:G218)</f>
        <v>115680</v>
      </c>
      <c r="H219" s="10">
        <f>SUM(H216:H218)</f>
        <v>122400</v>
      </c>
      <c r="I219" s="10">
        <f>SUM(I216:I218)</f>
        <v>121840</v>
      </c>
      <c r="J219" s="10">
        <f>SUM(J216:J218)</f>
        <v>114600</v>
      </c>
      <c r="K219" s="10">
        <f>SUM(K216:K218)</f>
        <v>114483</v>
      </c>
      <c r="L219" s="10">
        <f>SUM(L216:L218)</f>
        <v>114483</v>
      </c>
      <c r="M219" s="10">
        <f>SUM(M216:M218)</f>
        <v>114730</v>
      </c>
      <c r="N219" s="10">
        <f>SUM(N216:N218)</f>
        <v>112630</v>
      </c>
      <c r="O219" s="10">
        <f>SUM(O216:O218)</f>
        <v>108418</v>
      </c>
      <c r="P219" s="10">
        <f>SUM(P216:P218)</f>
        <v>108047</v>
      </c>
      <c r="Q219" s="10">
        <f>SUM(Q216:Q218)</f>
        <v>108047</v>
      </c>
      <c r="R219" s="10">
        <f>SUM(R216:R218)</f>
        <v>108292</v>
      </c>
      <c r="S219" s="10">
        <f>SUM(S216:S218)</f>
        <v>109507</v>
      </c>
      <c r="T219" s="10">
        <f>SUM(T216:T218)</f>
        <v>112723</v>
      </c>
      <c r="U219" s="10">
        <f>SUM(U216:U218)</f>
        <v>112436</v>
      </c>
      <c r="V219" s="10">
        <f>SUM(V216:V218)</f>
        <v>112436</v>
      </c>
      <c r="W219" s="10">
        <f>SUM(W216:W218)</f>
        <v>112043</v>
      </c>
      <c r="X219" s="10">
        <f>SUM(X216:X218)</f>
        <v>121645</v>
      </c>
      <c r="Y219" s="10">
        <f>SUM(Y216:Y218)</f>
        <v>121791</v>
      </c>
      <c r="Z219" s="10">
        <f>SUM(Z216:Z218)</f>
        <v>124719</v>
      </c>
      <c r="AA219" s="10">
        <f>SUM(AA216:AA218)</f>
        <v>124719</v>
      </c>
      <c r="AB219" s="10">
        <f>SUM(AB216:AB218)</f>
        <v>122798</v>
      </c>
      <c r="AC219" s="10">
        <f>SUM(AC216:AC218)</f>
        <v>119981</v>
      </c>
      <c r="AD219" s="10">
        <f>SUM(AD216:AD218)</f>
        <v>119691</v>
      </c>
    </row>
    <row r="222" spans="2:30" x14ac:dyDescent="0.2">
      <c r="B222" t="s">
        <v>200</v>
      </c>
      <c r="K222">
        <v>32687</v>
      </c>
      <c r="L222">
        <v>32687</v>
      </c>
      <c r="M222">
        <v>36703</v>
      </c>
      <c r="N222">
        <v>35368</v>
      </c>
      <c r="O222">
        <v>31673</v>
      </c>
      <c r="P222">
        <v>37720</v>
      </c>
      <c r="Q222">
        <v>37720</v>
      </c>
      <c r="R222">
        <v>36263</v>
      </c>
      <c r="S222">
        <v>37324</v>
      </c>
      <c r="T222">
        <v>35005</v>
      </c>
      <c r="U222">
        <v>42684</v>
      </c>
      <c r="V222">
        <v>42684</v>
      </c>
      <c r="W222">
        <v>48504</v>
      </c>
      <c r="X222">
        <v>45660</v>
      </c>
      <c r="Y222">
        <v>43625</v>
      </c>
      <c r="Z222">
        <v>47493</v>
      </c>
      <c r="AA222">
        <v>47493</v>
      </c>
      <c r="AB222">
        <v>49167</v>
      </c>
      <c r="AC222">
        <v>50248</v>
      </c>
      <c r="AD222">
        <v>48811</v>
      </c>
    </row>
    <row r="223" spans="2:30" x14ac:dyDescent="0.2">
      <c r="B223" t="s">
        <v>203</v>
      </c>
      <c r="C223">
        <v>37901</v>
      </c>
      <c r="D223">
        <v>39470</v>
      </c>
      <c r="E223">
        <v>38598</v>
      </c>
      <c r="F223">
        <v>40415</v>
      </c>
      <c r="G223">
        <v>40415</v>
      </c>
      <c r="H223">
        <v>43754</v>
      </c>
      <c r="I223">
        <v>46855</v>
      </c>
      <c r="J223">
        <v>45694</v>
      </c>
      <c r="K223">
        <v>45180</v>
      </c>
      <c r="L223">
        <v>45180</v>
      </c>
      <c r="M223">
        <v>54555</v>
      </c>
      <c r="N223">
        <v>52165</v>
      </c>
      <c r="O223">
        <v>51143</v>
      </c>
      <c r="P223">
        <v>50503</v>
      </c>
      <c r="Q223">
        <v>50503</v>
      </c>
      <c r="R223">
        <v>55848</v>
      </c>
      <c r="S223">
        <v>56795</v>
      </c>
      <c r="T223">
        <v>55696</v>
      </c>
      <c r="U223">
        <v>54490</v>
      </c>
      <c r="V223">
        <v>54490</v>
      </c>
      <c r="W223">
        <v>56042</v>
      </c>
      <c r="X223">
        <v>52953</v>
      </c>
      <c r="Y223">
        <v>52054</v>
      </c>
      <c r="Z223">
        <v>53325</v>
      </c>
      <c r="AA223">
        <v>53325</v>
      </c>
      <c r="AB223">
        <v>55056</v>
      </c>
      <c r="AC223">
        <v>52432</v>
      </c>
      <c r="AD223">
        <v>53629</v>
      </c>
    </row>
    <row r="225" spans="1:30" x14ac:dyDescent="0.2">
      <c r="B225" t="s">
        <v>205</v>
      </c>
      <c r="C225">
        <f>C214+C219+SUM(C222:C223)</f>
        <v>198751</v>
      </c>
      <c r="D225">
        <f>D214+D219+SUM(D222:D223)</f>
        <v>200450</v>
      </c>
      <c r="E225">
        <f>E214+E219+SUM(E222:E223)</f>
        <v>212748</v>
      </c>
      <c r="F225">
        <f>F214+F219+SUM(F222:F223)</f>
        <v>241272</v>
      </c>
      <c r="G225">
        <f>G214+G219+SUM(G222:G223)</f>
        <v>241272</v>
      </c>
      <c r="H225">
        <f>H214+H219+SUM(H222:H223)</f>
        <v>266595</v>
      </c>
      <c r="I225">
        <f>I214+I219+SUM(I222:I223)</f>
        <v>240624</v>
      </c>
      <c r="J225">
        <f>J214+J219+SUM(J222:J223)</f>
        <v>234248</v>
      </c>
      <c r="K225">
        <f>K214+K219+SUM(K222:K223)</f>
        <v>258578</v>
      </c>
      <c r="L225">
        <f>L214+L219+SUM(L222:L223)</f>
        <v>258578</v>
      </c>
      <c r="M225">
        <f>M214+M219+SUM(M222:M223)</f>
        <v>255827</v>
      </c>
      <c r="N225">
        <f>N214+N219+SUM(N222:N223)</f>
        <v>236138</v>
      </c>
      <c r="O225">
        <f>O214+O219+SUM(O222:O223)</f>
        <v>225783</v>
      </c>
      <c r="P225">
        <f>P214+P219+SUM(P222:P223)</f>
        <v>248028</v>
      </c>
      <c r="Q225">
        <f>Q214+Q219+SUM(Q222:Q223)</f>
        <v>248028</v>
      </c>
      <c r="R225">
        <f>R214+R219+SUM(R222:R223)</f>
        <v>251087</v>
      </c>
      <c r="S225">
        <f>S214+S219+SUM(S222:S223)</f>
        <v>241975</v>
      </c>
      <c r="T225">
        <f>T214+T219+SUM(T222:T223)</f>
        <v>245062</v>
      </c>
      <c r="U225">
        <f>U214+U219+SUM(U222:U223)</f>
        <v>258549</v>
      </c>
      <c r="V225">
        <f>V214+V219+SUM(V222:V223)</f>
        <v>258549</v>
      </c>
      <c r="W225">
        <f>W214+W219+SUM(W222:W223)</f>
        <v>287830</v>
      </c>
      <c r="X225">
        <f>X214+X219+SUM(X222:X223)</f>
        <v>267980</v>
      </c>
      <c r="Y225">
        <f>Y214+Y219+SUM(Y222:Y223)</f>
        <v>265560</v>
      </c>
      <c r="Z225">
        <f>Z214+Z219+SUM(Z222:Z223)</f>
        <v>287912</v>
      </c>
      <c r="AA225">
        <f>AA214+AA219+SUM(AA222:AA223)</f>
        <v>287912</v>
      </c>
      <c r="AB225">
        <f>AB214+AB219+SUM(AB222:AB223)</f>
        <v>309259</v>
      </c>
      <c r="AC225">
        <f>AC214+AC219+SUM(AC222:AC223)</f>
        <v>283263</v>
      </c>
      <c r="AD225">
        <f>AD214+AD219+SUM(AD222:AD223)</f>
        <v>278202</v>
      </c>
    </row>
    <row r="227" spans="1:30" x14ac:dyDescent="0.2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</row>
    <row r="228" spans="1:30" x14ac:dyDescent="0.2">
      <c r="A228" s="113"/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  <c r="T228" s="113"/>
      <c r="U228" s="113"/>
      <c r="V228" s="113"/>
      <c r="W228" s="113"/>
      <c r="X228" s="113"/>
      <c r="Y228" s="113"/>
      <c r="Z228" s="113"/>
      <c r="AA228" s="113"/>
      <c r="AB228" s="9"/>
      <c r="AC228" s="9"/>
      <c r="AD228" s="9"/>
    </row>
    <row r="236" spans="1:30" x14ac:dyDescent="0.2">
      <c r="C236" s="9"/>
      <c r="D236" s="9"/>
      <c r="E236" s="9"/>
    </row>
    <row r="237" spans="1:30" x14ac:dyDescent="0.2">
      <c r="C237" s="9"/>
      <c r="D237" s="9"/>
      <c r="E237" s="9"/>
    </row>
    <row r="238" spans="1:30" x14ac:dyDescent="0.2">
      <c r="C238" s="9"/>
      <c r="D238" s="9"/>
      <c r="E238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67A0C-BA64-5441-B3A6-DBC2F18B80C8}">
  <sheetPr codeName="Sheet2"/>
  <dimension ref="A1:AJ175"/>
  <sheetViews>
    <sheetView workbookViewId="0">
      <pane xSplit="2" ySplit="1" topLeftCell="C118" activePane="bottomRight" state="frozen"/>
      <selection pane="topRight" activeCell="C1" sqref="C1"/>
      <selection pane="bottomLeft" activeCell="A2" sqref="A2"/>
      <selection pane="bottomRight" activeCell="C139" sqref="A138:C139"/>
    </sheetView>
  </sheetViews>
  <sheetFormatPr baseColWidth="10" defaultRowHeight="16" x14ac:dyDescent="0.2"/>
  <cols>
    <col min="1" max="1" width="21.83203125" customWidth="1"/>
    <col min="2" max="2" width="26.83203125" customWidth="1"/>
    <col min="3" max="9" width="11.83203125" bestFit="1" customWidth="1"/>
    <col min="11" max="11" width="11.6640625" bestFit="1" customWidth="1"/>
    <col min="16" max="35" width="11.83203125" bestFit="1" customWidth="1"/>
  </cols>
  <sheetData>
    <row r="1" spans="2:36" ht="15" customHeight="1" x14ac:dyDescent="0.2">
      <c r="B1" s="4"/>
      <c r="C1" s="4" t="s">
        <v>46</v>
      </c>
      <c r="D1" s="4" t="s">
        <v>49</v>
      </c>
      <c r="E1" s="4" t="s">
        <v>52</v>
      </c>
      <c r="F1" s="4" t="s">
        <v>55</v>
      </c>
      <c r="G1" s="4" t="s">
        <v>58</v>
      </c>
      <c r="H1" s="4" t="s">
        <v>78</v>
      </c>
      <c r="I1" s="4" t="s">
        <v>59</v>
      </c>
      <c r="J1" s="4" t="s">
        <v>60</v>
      </c>
      <c r="K1" s="4" t="s">
        <v>175</v>
      </c>
      <c r="L1" s="4" t="s">
        <v>176</v>
      </c>
      <c r="M1" s="4" t="s">
        <v>177</v>
      </c>
      <c r="N1" s="4"/>
      <c r="O1" s="4"/>
      <c r="P1" s="4" t="s">
        <v>73</v>
      </c>
      <c r="Q1" s="4" t="s">
        <v>44</v>
      </c>
      <c r="R1" s="4" t="s">
        <v>45</v>
      </c>
      <c r="S1" s="4" t="s">
        <v>68</v>
      </c>
      <c r="T1" s="4" t="s">
        <v>74</v>
      </c>
      <c r="U1" s="4" t="s">
        <v>47</v>
      </c>
      <c r="V1" s="4" t="s">
        <v>48</v>
      </c>
      <c r="W1" s="4" t="s">
        <v>69</v>
      </c>
      <c r="X1" s="4" t="s">
        <v>75</v>
      </c>
      <c r="Y1" s="4" t="s">
        <v>50</v>
      </c>
      <c r="Z1" s="4" t="s">
        <v>51</v>
      </c>
      <c r="AA1" s="4" t="s">
        <v>70</v>
      </c>
      <c r="AB1" s="4" t="s">
        <v>76</v>
      </c>
      <c r="AC1" s="4" t="s">
        <v>53</v>
      </c>
      <c r="AD1" s="4" t="s">
        <v>54</v>
      </c>
      <c r="AE1" s="4" t="s">
        <v>71</v>
      </c>
      <c r="AF1" s="4" t="s">
        <v>77</v>
      </c>
      <c r="AG1" s="4" t="s">
        <v>56</v>
      </c>
      <c r="AH1" s="4" t="s">
        <v>57</v>
      </c>
      <c r="AI1" s="4" t="s">
        <v>72</v>
      </c>
    </row>
    <row r="2" spans="2:36" s="6" customFormat="1" x14ac:dyDescent="0.2"/>
    <row r="3" spans="2:36" s="6" customFormat="1" x14ac:dyDescent="0.2">
      <c r="B3" s="7" t="s">
        <v>171</v>
      </c>
      <c r="D3" s="8"/>
      <c r="E3" s="44"/>
      <c r="F3" s="44"/>
      <c r="G3" s="44"/>
      <c r="H3" s="44"/>
      <c r="I3" s="44"/>
      <c r="J3" s="44"/>
      <c r="P3" s="8"/>
      <c r="Q3" s="8"/>
      <c r="R3" s="8"/>
      <c r="S3" s="8"/>
      <c r="T3" s="8"/>
      <c r="U3" s="8"/>
      <c r="V3" s="8"/>
      <c r="W3" s="8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</row>
    <row r="4" spans="2:36" s="6" customFormat="1" x14ac:dyDescent="0.2">
      <c r="B4" s="7" t="s">
        <v>104</v>
      </c>
      <c r="C4" s="6">
        <v>1.0552954523428601E-2</v>
      </c>
      <c r="D4" s="8">
        <f>D10/C10-1</f>
        <v>0.17436000418462161</v>
      </c>
      <c r="E4" s="44">
        <v>0.2</v>
      </c>
      <c r="F4" s="44">
        <v>0.1</v>
      </c>
      <c r="G4" s="44">
        <v>0.05</v>
      </c>
      <c r="H4" s="44"/>
      <c r="I4" s="44"/>
      <c r="J4" s="44"/>
      <c r="K4" s="44"/>
      <c r="L4" s="44">
        <v>0.15</v>
      </c>
      <c r="M4" s="44">
        <v>0.2</v>
      </c>
      <c r="N4" s="44"/>
      <c r="O4" s="44"/>
      <c r="T4" s="8">
        <f>T10/P10-1</f>
        <v>0.14663490695039338</v>
      </c>
      <c r="U4" s="8">
        <f>U10/Q10-1</f>
        <v>0.11200295093485035</v>
      </c>
      <c r="V4" s="8">
        <f>V10/R10-1</f>
        <v>0.19566900728341285</v>
      </c>
      <c r="W4" s="8">
        <f>W10/S10-1</f>
        <v>0.28325850562910371</v>
      </c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</row>
    <row r="5" spans="2:36" s="6" customFormat="1" x14ac:dyDescent="0.2">
      <c r="B5" s="7" t="s">
        <v>106</v>
      </c>
      <c r="C5" s="6">
        <v>8.7121986494613099E-2</v>
      </c>
      <c r="D5" s="8">
        <f>D11/C11-1</f>
        <v>4.2255623587417634E-2</v>
      </c>
      <c r="E5" s="44">
        <v>-0.05</v>
      </c>
      <c r="F5" s="49">
        <v>0.05</v>
      </c>
      <c r="G5" s="44">
        <v>0</v>
      </c>
      <c r="H5" s="44"/>
      <c r="I5" s="44"/>
      <c r="J5" s="44"/>
      <c r="K5" s="44"/>
      <c r="L5" s="44">
        <v>0.1</v>
      </c>
      <c r="M5" s="44">
        <v>0.1</v>
      </c>
      <c r="N5" s="44"/>
      <c r="O5" s="44"/>
      <c r="T5" s="8">
        <f>T11/P11-1</f>
        <v>6.0494724898862984E-4</v>
      </c>
      <c r="U5" s="8">
        <f>U11/Q11-1</f>
        <v>3.0376179221135891E-2</v>
      </c>
      <c r="V5" s="8">
        <f>V11/R11-1</f>
        <v>9.9706570061685706E-2</v>
      </c>
      <c r="W5" s="8">
        <f>W11/S11-1</f>
        <v>5.0582318234302814E-2</v>
      </c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</row>
    <row r="6" spans="2:36" s="6" customFormat="1" x14ac:dyDescent="0.2">
      <c r="B6" s="7" t="s">
        <v>105</v>
      </c>
      <c r="C6" s="6">
        <v>-2.9035826085972993E-2</v>
      </c>
      <c r="D6" s="8">
        <f>D12/C12-1</f>
        <v>-1.6795058569677113E-2</v>
      </c>
      <c r="E6" s="44">
        <v>-1.6799999999999999E-2</v>
      </c>
      <c r="F6" s="44">
        <v>-1.6799999999999999E-2</v>
      </c>
      <c r="G6" s="44">
        <v>-1.6799999999999999E-2</v>
      </c>
      <c r="H6" s="44"/>
      <c r="I6" s="44"/>
      <c r="J6" s="44"/>
      <c r="K6" s="44"/>
      <c r="L6" s="44">
        <v>7.0000000000000007E-2</v>
      </c>
      <c r="M6" s="44">
        <v>7.0000000000000007E-2</v>
      </c>
      <c r="N6" s="44"/>
      <c r="O6" s="44"/>
      <c r="T6" s="8">
        <f>T12/P12-1</f>
        <v>5.2301803179679363E-2</v>
      </c>
      <c r="U6" s="8">
        <f>U12/Q12-1</f>
        <v>3.5432076962212955E-2</v>
      </c>
      <c r="V6" s="8">
        <f>V12/R12-1</f>
        <v>-5.6538071749860808E-2</v>
      </c>
      <c r="W6" s="8">
        <f>W12/S12-1</f>
        <v>-9.8874593490091867E-2</v>
      </c>
      <c r="X6" s="8"/>
      <c r="Y6" s="8"/>
      <c r="Z6" s="8"/>
      <c r="AA6" s="44"/>
      <c r="AB6" s="44"/>
      <c r="AC6" s="44"/>
      <c r="AD6" s="44"/>
      <c r="AE6" s="44"/>
      <c r="AF6" s="44"/>
      <c r="AG6" s="44"/>
      <c r="AH6" s="44"/>
      <c r="AI6" s="44"/>
      <c r="AJ6" s="44"/>
    </row>
    <row r="7" spans="2:36" s="35" customFormat="1" ht="15" customHeight="1" x14ac:dyDescent="0.2">
      <c r="B7" s="41" t="s">
        <v>107</v>
      </c>
      <c r="C7" s="41"/>
      <c r="D7" s="41"/>
      <c r="E7" s="51"/>
      <c r="F7" s="50">
        <v>0.1</v>
      </c>
      <c r="G7" s="52">
        <v>0.05</v>
      </c>
      <c r="H7" s="50"/>
      <c r="I7" s="50"/>
      <c r="J7" s="50"/>
      <c r="K7" s="50"/>
      <c r="L7" s="51">
        <v>0.05</v>
      </c>
      <c r="M7" s="51">
        <v>0.05</v>
      </c>
      <c r="N7" s="51"/>
      <c r="O7" s="5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50"/>
      <c r="AB7" s="50"/>
      <c r="AC7" s="50"/>
      <c r="AD7" s="50"/>
      <c r="AE7" s="50"/>
      <c r="AF7" s="50"/>
      <c r="AG7" s="50"/>
      <c r="AH7" s="50"/>
      <c r="AI7" s="50"/>
      <c r="AJ7" s="51"/>
    </row>
    <row r="8" spans="2:36" s="38" customFormat="1" ht="15" customHeight="1" x14ac:dyDescent="0.2">
      <c r="B8" s="5"/>
      <c r="C8" s="5"/>
      <c r="D8" s="5"/>
      <c r="E8" s="53"/>
      <c r="F8" s="53"/>
      <c r="G8" s="53"/>
      <c r="H8" s="53"/>
      <c r="I8" s="53"/>
      <c r="J8" s="53"/>
      <c r="K8" s="53"/>
      <c r="L8" s="54"/>
      <c r="M8" s="54"/>
      <c r="N8" s="54"/>
      <c r="O8" s="54"/>
      <c r="P8" s="5"/>
      <c r="Q8" s="5"/>
      <c r="R8" s="5"/>
      <c r="S8" s="5"/>
      <c r="T8" s="5"/>
      <c r="U8" s="5"/>
      <c r="V8" s="5"/>
      <c r="W8" s="5"/>
      <c r="X8" s="7"/>
      <c r="Y8" s="5"/>
      <c r="Z8" s="5"/>
      <c r="AA8" s="53"/>
      <c r="AB8" s="53"/>
      <c r="AC8" s="53"/>
      <c r="AD8" s="53"/>
      <c r="AE8" s="53"/>
      <c r="AF8" s="53"/>
      <c r="AG8" s="53"/>
      <c r="AH8" s="53"/>
      <c r="AI8" s="53"/>
      <c r="AJ8" s="54"/>
    </row>
    <row r="9" spans="2:36" s="38" customFormat="1" ht="15" customHeight="1" x14ac:dyDescent="0.2">
      <c r="B9" s="5" t="s">
        <v>172</v>
      </c>
      <c r="C9" s="39"/>
      <c r="D9" s="39"/>
      <c r="E9" s="55"/>
      <c r="F9" s="55"/>
      <c r="G9" s="55"/>
      <c r="H9" s="55"/>
      <c r="I9" s="55"/>
      <c r="J9" s="55"/>
      <c r="K9" s="53"/>
      <c r="L9" s="54"/>
      <c r="M9" s="54"/>
      <c r="N9" s="54"/>
      <c r="O9" s="54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55"/>
      <c r="AB9" s="55"/>
      <c r="AC9" s="55"/>
      <c r="AD9" s="55"/>
      <c r="AE9" s="55"/>
      <c r="AF9" s="55"/>
      <c r="AG9" s="55"/>
      <c r="AH9" s="55"/>
      <c r="AI9" s="55"/>
      <c r="AJ9" s="54"/>
    </row>
    <row r="10" spans="2:36" s="46" customFormat="1" ht="15" customHeight="1" x14ac:dyDescent="0.2">
      <c r="B10" s="39" t="s">
        <v>160</v>
      </c>
      <c r="C10" s="39">
        <v>651.97272509180823</v>
      </c>
      <c r="D10" s="39">
        <v>765.65069216707502</v>
      </c>
      <c r="E10" s="63">
        <f>D10*(E4+1)</f>
        <v>918.78083060049005</v>
      </c>
      <c r="F10" s="63">
        <f>E10*(F4+1)</f>
        <v>1010.6589136605392</v>
      </c>
      <c r="G10" s="63">
        <f>F10*(G4+1)</f>
        <v>1061.1918593435662</v>
      </c>
      <c r="H10" s="55"/>
      <c r="I10" s="55"/>
      <c r="J10" s="55"/>
      <c r="K10" s="55"/>
      <c r="L10" s="55">
        <f>G10*(L4+1)</f>
        <v>1220.370638245101</v>
      </c>
      <c r="M10" s="55">
        <f>L10*(M4+1)</f>
        <v>1464.444765894121</v>
      </c>
      <c r="N10" s="55"/>
      <c r="O10" s="55"/>
      <c r="P10" s="39">
        <v>694.57146506578101</v>
      </c>
      <c r="Q10" s="39">
        <v>654.98492996867799</v>
      </c>
      <c r="R10" s="39">
        <v>605.61595086042996</v>
      </c>
      <c r="S10" s="39">
        <v>617.99173040255369</v>
      </c>
      <c r="T10" s="39">
        <v>796.41988721610016</v>
      </c>
      <c r="U10" s="39">
        <v>728.34517494302622</v>
      </c>
      <c r="V10" s="39">
        <v>724.1162227602905</v>
      </c>
      <c r="W10" s="39">
        <v>793.04314444752504</v>
      </c>
      <c r="X10" s="39"/>
      <c r="Y10" s="39"/>
      <c r="Z10" s="39"/>
      <c r="AA10" s="63"/>
      <c r="AB10" s="63"/>
      <c r="AC10" s="63"/>
      <c r="AD10" s="63"/>
      <c r="AE10" s="63"/>
      <c r="AF10" s="63"/>
      <c r="AG10" s="63"/>
      <c r="AH10" s="63"/>
      <c r="AI10" s="63"/>
      <c r="AJ10" s="56"/>
    </row>
    <row r="11" spans="2:36" s="46" customFormat="1" ht="15" customHeight="1" x14ac:dyDescent="0.2">
      <c r="B11" s="39" t="s">
        <v>159</v>
      </c>
      <c r="C11" s="39">
        <v>1342.7873876681731</v>
      </c>
      <c r="D11" s="39">
        <v>1399.5277060794112</v>
      </c>
      <c r="E11" s="63">
        <f>D11*(E5+1)</f>
        <v>1329.5513207754407</v>
      </c>
      <c r="F11" s="63">
        <f>E11*(F5+1)</f>
        <v>1396.0288868142127</v>
      </c>
      <c r="G11" s="63">
        <f>F11*(G5+1)</f>
        <v>1396.0288868142127</v>
      </c>
      <c r="H11" s="55"/>
      <c r="I11" s="55"/>
      <c r="J11" s="55"/>
      <c r="K11" s="55"/>
      <c r="L11" s="55">
        <f>G11*(L5+1)</f>
        <v>1535.631775495634</v>
      </c>
      <c r="M11" s="55">
        <f>L11*(M5+1)</f>
        <v>1689.1949530451975</v>
      </c>
      <c r="N11" s="55"/>
      <c r="O11" s="55"/>
      <c r="P11" s="39">
        <v>1347.9717156680313</v>
      </c>
      <c r="Q11" s="39">
        <v>1391.7599428435342</v>
      </c>
      <c r="R11" s="39">
        <v>1302.8890959925443</v>
      </c>
      <c r="S11" s="39">
        <v>1331.229112513925</v>
      </c>
      <c r="T11" s="39">
        <v>1348.7871674491391</v>
      </c>
      <c r="U11" s="39">
        <v>1434.0362923001471</v>
      </c>
      <c r="V11" s="39">
        <v>1432.7956989247311</v>
      </c>
      <c r="W11" s="39">
        <v>1398.565767125873</v>
      </c>
      <c r="X11" s="39"/>
      <c r="Y11" s="39"/>
      <c r="Z11" s="39"/>
      <c r="AA11" s="63"/>
      <c r="AB11" s="63"/>
      <c r="AC11" s="63"/>
      <c r="AD11" s="63"/>
      <c r="AE11" s="63"/>
      <c r="AF11" s="63"/>
      <c r="AG11" s="63"/>
      <c r="AH11" s="63"/>
      <c r="AI11" s="63"/>
      <c r="AJ11" s="56"/>
    </row>
    <row r="12" spans="2:36" s="46" customFormat="1" ht="15" customHeight="1" x14ac:dyDescent="0.2">
      <c r="B12" s="39" t="s">
        <v>161</v>
      </c>
      <c r="C12" s="39">
        <v>439.32987452288984</v>
      </c>
      <c r="D12" s="39">
        <v>431.95130354886902</v>
      </c>
      <c r="E12" s="63">
        <f>D12*(E6+1)</f>
        <v>424.69452164924803</v>
      </c>
      <c r="F12" s="63">
        <f>E12*(F6+1)</f>
        <v>417.55965368554064</v>
      </c>
      <c r="G12" s="63">
        <f>F12*(G6+1)</f>
        <v>410.54465150362353</v>
      </c>
      <c r="H12" s="55"/>
      <c r="I12" s="55"/>
      <c r="J12" s="55"/>
      <c r="K12" s="55"/>
      <c r="L12" s="55">
        <f>G12*(L6+1)</f>
        <v>439.28277710887721</v>
      </c>
      <c r="M12" s="55">
        <f>L12*(M6+1)</f>
        <v>470.03257150649864</v>
      </c>
      <c r="N12" s="55"/>
      <c r="O12" s="55"/>
      <c r="P12" s="39">
        <v>422.97989450347836</v>
      </c>
      <c r="Q12" s="39">
        <v>435.88881416722705</v>
      </c>
      <c r="R12" s="39">
        <v>434.96148459383755</v>
      </c>
      <c r="S12" s="39">
        <v>467.84815030021304</v>
      </c>
      <c r="T12" s="39">
        <v>445.10250569476085</v>
      </c>
      <c r="U12" s="39">
        <v>451.33326017776801</v>
      </c>
      <c r="V12" s="39">
        <v>410.36960096944517</v>
      </c>
      <c r="W12" s="39">
        <v>421.58985462418809</v>
      </c>
      <c r="X12" s="39"/>
      <c r="Y12" s="39"/>
      <c r="Z12" s="39"/>
      <c r="AA12" s="63"/>
      <c r="AB12" s="63"/>
      <c r="AC12" s="63"/>
      <c r="AD12" s="63"/>
      <c r="AE12" s="63"/>
      <c r="AF12" s="63"/>
      <c r="AG12" s="63"/>
      <c r="AH12" s="63"/>
      <c r="AI12" s="63"/>
      <c r="AJ12" s="56"/>
    </row>
    <row r="13" spans="2:36" s="46" customFormat="1" ht="15" customHeight="1" x14ac:dyDescent="0.2">
      <c r="B13" s="39" t="s">
        <v>168</v>
      </c>
      <c r="C13" s="39"/>
      <c r="D13" s="39"/>
      <c r="E13" s="63">
        <v>200</v>
      </c>
      <c r="F13" s="63">
        <f>E13*(F7+1)</f>
        <v>220.00000000000003</v>
      </c>
      <c r="G13" s="63">
        <f>F13*(G7+1)</f>
        <v>231.00000000000003</v>
      </c>
      <c r="H13" s="55"/>
      <c r="I13" s="55"/>
      <c r="J13" s="55"/>
      <c r="K13" s="55"/>
      <c r="L13" s="55">
        <f>G13*(L7+1)</f>
        <v>242.55000000000004</v>
      </c>
      <c r="M13" s="55">
        <f>L13*(M7+1)</f>
        <v>254.67750000000007</v>
      </c>
      <c r="N13" s="55"/>
      <c r="O13" s="55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63"/>
      <c r="AB13" s="63"/>
      <c r="AC13" s="63"/>
      <c r="AD13" s="63"/>
      <c r="AE13" s="63"/>
      <c r="AF13" s="63"/>
      <c r="AG13" s="63"/>
      <c r="AH13" s="63"/>
      <c r="AI13" s="63"/>
      <c r="AJ13" s="56"/>
    </row>
    <row r="14" spans="2:36" s="6" customFormat="1" x14ac:dyDescent="0.2">
      <c r="E14" s="64"/>
      <c r="F14" s="64"/>
      <c r="G14" s="64"/>
      <c r="H14" s="44"/>
      <c r="I14" s="44"/>
      <c r="J14" s="44"/>
      <c r="K14" s="44"/>
      <c r="L14" s="44"/>
      <c r="M14" s="44"/>
      <c r="N14" s="44"/>
      <c r="O14" s="44"/>
      <c r="AA14" s="64"/>
      <c r="AB14" s="64"/>
      <c r="AC14" s="64"/>
      <c r="AD14" s="64"/>
      <c r="AE14" s="64"/>
      <c r="AF14" s="64"/>
      <c r="AG14" s="64"/>
      <c r="AH14" s="64"/>
      <c r="AI14" s="64"/>
      <c r="AJ14" s="44"/>
    </row>
    <row r="15" spans="2:36" s="18" customFormat="1" x14ac:dyDescent="0.2">
      <c r="B15" s="42" t="s">
        <v>173</v>
      </c>
      <c r="D15" s="43"/>
      <c r="E15" s="65"/>
      <c r="F15" s="65"/>
      <c r="G15" s="65"/>
      <c r="H15" s="57"/>
      <c r="I15" s="57"/>
      <c r="J15" s="57"/>
      <c r="K15" s="57"/>
      <c r="L15" s="57"/>
      <c r="M15" s="57"/>
      <c r="N15" s="57"/>
      <c r="O15" s="57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65"/>
      <c r="AB15" s="65"/>
      <c r="AC15" s="65"/>
      <c r="AD15" s="65"/>
      <c r="AE15" s="65"/>
      <c r="AF15" s="65"/>
      <c r="AG15" s="65"/>
      <c r="AH15" s="65"/>
      <c r="AI15" s="65"/>
      <c r="AJ15" s="57"/>
    </row>
    <row r="16" spans="2:36" s="18" customFormat="1" x14ac:dyDescent="0.2">
      <c r="B16" s="42" t="s">
        <v>104</v>
      </c>
      <c r="C16" s="18">
        <v>2.2993713541371585E-2</v>
      </c>
      <c r="D16" s="43">
        <v>4.4566240380889965E-3</v>
      </c>
      <c r="E16" s="67">
        <f>E22/D22-1</f>
        <v>-0.28823308278193993</v>
      </c>
      <c r="F16" s="67">
        <f>F22/E22-1</f>
        <v>-0.12027971045677077</v>
      </c>
      <c r="G16" s="67">
        <f>G22/F22-1</f>
        <v>0.32697127014195404</v>
      </c>
      <c r="H16" s="67"/>
      <c r="I16" s="57"/>
      <c r="J16" s="57"/>
      <c r="K16" s="57"/>
      <c r="L16" s="57">
        <v>-0.1</v>
      </c>
      <c r="M16" s="57"/>
      <c r="N16" s="57"/>
      <c r="O16" s="57"/>
      <c r="T16" s="43">
        <v>-1.2440924766892292E-2</v>
      </c>
      <c r="U16" s="43">
        <v>2.8642909205523814E-2</v>
      </c>
      <c r="V16" s="43">
        <v>6.6786915614487352E-3</v>
      </c>
      <c r="W16" s="43">
        <v>4.5418514471795568E-3</v>
      </c>
      <c r="X16" s="43"/>
      <c r="Y16" s="43"/>
      <c r="Z16" s="43"/>
      <c r="AA16" s="65"/>
      <c r="AB16" s="67"/>
      <c r="AC16" s="67"/>
      <c r="AD16" s="67"/>
      <c r="AE16" s="67"/>
      <c r="AF16" s="67"/>
      <c r="AG16" s="67"/>
      <c r="AH16" s="67"/>
      <c r="AI16" s="67"/>
      <c r="AJ16" s="57"/>
    </row>
    <row r="17" spans="2:36" s="18" customFormat="1" x14ac:dyDescent="0.2">
      <c r="B17" s="42" t="s">
        <v>106</v>
      </c>
      <c r="C17" s="18">
        <v>4.1495347327418219E-2</v>
      </c>
      <c r="D17" s="43">
        <v>-4.98251548465245E-3</v>
      </c>
      <c r="E17" s="67">
        <f>E23/D23-1</f>
        <v>6.320580921775476E-2</v>
      </c>
      <c r="F17" s="67">
        <f>F23/E23-1</f>
        <v>5.9015059015059101E-2</v>
      </c>
      <c r="G17" s="67">
        <f>G23/F23-1</f>
        <v>0.22947383131856602</v>
      </c>
      <c r="H17" s="67"/>
      <c r="I17" s="57"/>
      <c r="J17" s="57"/>
      <c r="K17" s="57"/>
      <c r="L17" s="57">
        <v>0.03</v>
      </c>
      <c r="M17" s="57"/>
      <c r="N17" s="57"/>
      <c r="O17" s="57"/>
      <c r="T17" s="43">
        <v>6.803761180337986E-3</v>
      </c>
      <c r="U17" s="43">
        <v>2.1407756108495768E-2</v>
      </c>
      <c r="V17" s="43">
        <v>1.129201680672276E-2</v>
      </c>
      <c r="W17" s="43">
        <v>-6.0720511330621729E-2</v>
      </c>
      <c r="X17" s="43"/>
      <c r="Y17" s="43"/>
      <c r="Z17" s="43"/>
      <c r="AA17" s="65"/>
      <c r="AB17" s="67"/>
      <c r="AC17" s="67"/>
      <c r="AD17" s="67"/>
      <c r="AE17" s="67"/>
      <c r="AF17" s="67"/>
      <c r="AG17" s="67"/>
      <c r="AH17" s="67"/>
      <c r="AI17" s="67"/>
      <c r="AJ17" s="57"/>
    </row>
    <row r="18" spans="2:36" s="18" customFormat="1" x14ac:dyDescent="0.2">
      <c r="B18" s="42" t="s">
        <v>105</v>
      </c>
      <c r="C18" s="18">
        <v>-4.0293924106163614E-2</v>
      </c>
      <c r="D18" s="43">
        <v>-5.4127058334631939E-2</v>
      </c>
      <c r="E18" s="67">
        <f>E24/D24-1</f>
        <v>0.15094989062730813</v>
      </c>
      <c r="F18" s="67">
        <f>F24/E24-1</f>
        <v>0.13389912943465254</v>
      </c>
      <c r="G18" s="67">
        <f>G24/F24-1</f>
        <v>0.36597656340566376</v>
      </c>
      <c r="H18" s="67"/>
      <c r="I18" s="57"/>
      <c r="J18" s="57"/>
      <c r="K18" s="57"/>
      <c r="L18" s="57">
        <v>-0.1</v>
      </c>
      <c r="M18" s="57"/>
      <c r="N18" s="57"/>
      <c r="O18" s="57"/>
      <c r="T18" s="43">
        <v>-4.8753256419798996E-2</v>
      </c>
      <c r="U18" s="43">
        <v>-2.8816384853536547E-2</v>
      </c>
      <c r="V18" s="43">
        <v>-0.13327120223671951</v>
      </c>
      <c r="W18" s="43">
        <v>-1.6152989231340564E-2</v>
      </c>
      <c r="X18" s="43"/>
      <c r="Y18" s="43"/>
      <c r="Z18" s="43"/>
      <c r="AA18" s="65"/>
      <c r="AB18" s="67"/>
      <c r="AC18" s="67"/>
      <c r="AD18" s="67"/>
      <c r="AE18" s="67"/>
      <c r="AF18" s="67"/>
      <c r="AG18" s="67"/>
      <c r="AH18" s="67"/>
      <c r="AI18" s="67"/>
      <c r="AJ18" s="57"/>
    </row>
    <row r="19" spans="2:36" s="6" customFormat="1" x14ac:dyDescent="0.2">
      <c r="B19" s="7" t="s">
        <v>107</v>
      </c>
      <c r="D19" s="8"/>
      <c r="E19" s="67"/>
      <c r="F19" s="67">
        <f>F25/E25-1</f>
        <v>0.13701346443769413</v>
      </c>
      <c r="G19" s="67">
        <f>G25/F25-1</f>
        <v>0.1933376877857611</v>
      </c>
      <c r="H19" s="68"/>
      <c r="I19" s="44"/>
      <c r="J19" s="44"/>
      <c r="K19" s="44"/>
      <c r="L19" s="44">
        <v>-0.15</v>
      </c>
      <c r="M19" s="44"/>
      <c r="N19" s="44"/>
      <c r="O19" s="44"/>
      <c r="T19" s="8"/>
      <c r="U19" s="8"/>
      <c r="V19" s="8"/>
      <c r="W19" s="8"/>
      <c r="X19" s="8"/>
      <c r="Y19" s="8"/>
      <c r="Z19" s="8"/>
      <c r="AA19" s="64"/>
      <c r="AB19" s="68"/>
      <c r="AC19" s="68"/>
      <c r="AD19" s="68"/>
      <c r="AE19" s="68"/>
      <c r="AF19" s="68"/>
      <c r="AG19" s="68"/>
      <c r="AH19" s="68"/>
      <c r="AI19" s="68"/>
      <c r="AJ19" s="44"/>
    </row>
    <row r="20" spans="2:36" x14ac:dyDescent="0.2">
      <c r="E20" s="69"/>
      <c r="F20" s="69"/>
      <c r="G20" s="69"/>
      <c r="H20" s="69"/>
      <c r="I20" s="54"/>
      <c r="J20" s="54"/>
      <c r="K20" s="54"/>
      <c r="L20" s="54"/>
      <c r="M20" s="54"/>
      <c r="N20" s="54"/>
      <c r="O20" s="54"/>
      <c r="AA20" s="66"/>
      <c r="AB20" s="69"/>
      <c r="AC20" s="69"/>
      <c r="AD20" s="69"/>
      <c r="AE20" s="69"/>
      <c r="AF20" s="69"/>
      <c r="AG20" s="69"/>
      <c r="AH20" s="69"/>
      <c r="AI20" s="69"/>
      <c r="AJ20" s="54"/>
    </row>
    <row r="21" spans="2:36" s="45" customFormat="1" x14ac:dyDescent="0.2">
      <c r="B21" s="45" t="s">
        <v>158</v>
      </c>
      <c r="E21" s="70"/>
      <c r="F21" s="70"/>
      <c r="G21" s="70"/>
      <c r="H21" s="70"/>
      <c r="I21" s="56"/>
      <c r="J21" s="56"/>
      <c r="K21" s="56"/>
      <c r="L21" s="56"/>
      <c r="M21" s="56"/>
      <c r="N21" s="56"/>
      <c r="O21" s="56"/>
      <c r="AA21" s="62"/>
      <c r="AB21" s="70"/>
      <c r="AC21" s="70"/>
      <c r="AD21" s="70"/>
      <c r="AE21" s="70"/>
      <c r="AF21" s="70"/>
      <c r="AG21" s="70"/>
      <c r="AH21" s="70"/>
      <c r="AI21" s="70"/>
      <c r="AJ21" s="56"/>
    </row>
    <row r="22" spans="2:36" s="45" customFormat="1" x14ac:dyDescent="0.2">
      <c r="B22" s="45" t="s">
        <v>61</v>
      </c>
      <c r="C22" s="45">
        <v>216756</v>
      </c>
      <c r="D22" s="45">
        <v>217722</v>
      </c>
      <c r="E22" s="70">
        <f>E36/E10*1000</f>
        <v>154967.31675055047</v>
      </c>
      <c r="F22" s="70">
        <f>F36/F10*1000</f>
        <v>136327.89276153158</v>
      </c>
      <c r="G22" s="70">
        <f>G36/G10*1000</f>
        <v>180903.19701354566</v>
      </c>
      <c r="H22" s="70"/>
      <c r="I22" s="56"/>
      <c r="J22" s="56"/>
      <c r="K22" s="56"/>
      <c r="L22" s="62">
        <f>G22*(L16+1)</f>
        <v>162812.87731219109</v>
      </c>
      <c r="M22" s="56"/>
      <c r="N22" s="56"/>
      <c r="O22" s="56"/>
      <c r="P22" s="45">
        <v>78290</v>
      </c>
      <c r="Q22" s="45">
        <v>50763</v>
      </c>
      <c r="R22" s="45">
        <v>41026</v>
      </c>
      <c r="S22" s="45">
        <v>46677</v>
      </c>
      <c r="T22" s="45">
        <v>77316</v>
      </c>
      <c r="U22" s="45">
        <v>52217</v>
      </c>
      <c r="V22" s="45">
        <v>41300</v>
      </c>
      <c r="W22" s="45">
        <v>46889</v>
      </c>
      <c r="AA22" s="62"/>
      <c r="AB22" s="70"/>
      <c r="AC22" s="70"/>
      <c r="AD22" s="70"/>
      <c r="AE22" s="70"/>
      <c r="AF22" s="70"/>
      <c r="AG22" s="70"/>
      <c r="AH22" s="70"/>
      <c r="AI22" s="70"/>
      <c r="AJ22" s="56"/>
    </row>
    <row r="23" spans="2:36" s="45" customFormat="1" x14ac:dyDescent="0.2">
      <c r="B23" s="45" t="s">
        <v>62</v>
      </c>
      <c r="C23" s="45">
        <v>19251</v>
      </c>
      <c r="D23" s="45">
        <v>18209</v>
      </c>
      <c r="E23" s="70">
        <f t="shared" ref="E23:E24" si="0">E37/E11*1000</f>
        <v>19359.914580046097</v>
      </c>
      <c r="F23" s="70">
        <f t="shared" ref="F23:F25" si="1">F37/F11*1000</f>
        <v>20502.441081514022</v>
      </c>
      <c r="G23" s="70">
        <f t="shared" ref="G23:G25" si="2">G37/G11*1000</f>
        <v>25207.21478787221</v>
      </c>
      <c r="H23" s="70"/>
      <c r="I23" s="56"/>
      <c r="J23" s="56"/>
      <c r="K23" s="56"/>
      <c r="L23" s="62">
        <f>G23*(L17+1)</f>
        <v>25963.431231508377</v>
      </c>
      <c r="M23" s="56"/>
      <c r="N23" s="56"/>
      <c r="O23" s="56"/>
      <c r="P23" s="45">
        <v>5374</v>
      </c>
      <c r="Q23" s="45">
        <v>4199</v>
      </c>
      <c r="R23" s="45">
        <v>4292</v>
      </c>
      <c r="S23" s="45">
        <v>5386</v>
      </c>
      <c r="T23" s="45">
        <v>5112</v>
      </c>
      <c r="U23" s="45">
        <v>4078</v>
      </c>
      <c r="V23" s="45">
        <v>3720</v>
      </c>
      <c r="W23" s="45">
        <v>5299</v>
      </c>
      <c r="AA23" s="62"/>
      <c r="AB23" s="70"/>
      <c r="AC23" s="70"/>
      <c r="AD23" s="70"/>
      <c r="AE23" s="70"/>
      <c r="AF23" s="70"/>
      <c r="AG23" s="70"/>
      <c r="AH23" s="70"/>
      <c r="AI23" s="70"/>
      <c r="AJ23" s="56"/>
    </row>
    <row r="24" spans="2:36" s="45" customFormat="1" x14ac:dyDescent="0.2">
      <c r="B24" s="45" t="s">
        <v>63</v>
      </c>
      <c r="C24" s="45">
        <v>43753</v>
      </c>
      <c r="D24" s="45">
        <v>43535</v>
      </c>
      <c r="E24" s="70">
        <f t="shared" si="0"/>
        <v>50106.603488459856</v>
      </c>
      <c r="F24" s="70">
        <f t="shared" si="1"/>
        <v>56815.834074491955</v>
      </c>
      <c r="G24" s="70">
        <f t="shared" si="2"/>
        <v>77609.097776100927</v>
      </c>
      <c r="H24" s="70"/>
      <c r="I24" s="56"/>
      <c r="J24" s="56"/>
      <c r="K24" s="56"/>
      <c r="L24" s="62">
        <f>G24*(L18+1)</f>
        <v>69848.18799849083</v>
      </c>
      <c r="M24" s="56"/>
      <c r="N24" s="56"/>
      <c r="O24" s="56"/>
      <c r="P24" s="45">
        <v>13081</v>
      </c>
      <c r="Q24" s="45">
        <v>8922</v>
      </c>
      <c r="R24" s="45">
        <v>11424</v>
      </c>
      <c r="S24" s="45">
        <v>10326</v>
      </c>
      <c r="T24" s="45">
        <v>13170</v>
      </c>
      <c r="U24" s="45">
        <v>9113</v>
      </c>
      <c r="V24" s="45">
        <v>11553</v>
      </c>
      <c r="W24" s="45">
        <v>9699</v>
      </c>
      <c r="AA24" s="62"/>
      <c r="AB24" s="70"/>
      <c r="AC24" s="70"/>
      <c r="AD24" s="70"/>
      <c r="AE24" s="70"/>
      <c r="AF24" s="70"/>
      <c r="AG24" s="70"/>
      <c r="AH24" s="70"/>
      <c r="AI24" s="70"/>
      <c r="AJ24" s="56"/>
    </row>
    <row r="25" spans="2:36" s="45" customFormat="1" x14ac:dyDescent="0.2">
      <c r="B25" s="45" t="s">
        <v>174</v>
      </c>
      <c r="E25" s="70">
        <f>E39/E13*1000</f>
        <v>122410</v>
      </c>
      <c r="F25" s="70">
        <f t="shared" si="1"/>
        <v>139181.81818181815</v>
      </c>
      <c r="G25" s="70">
        <f t="shared" si="2"/>
        <v>166090.90909090906</v>
      </c>
      <c r="H25" s="70"/>
      <c r="I25" s="56"/>
      <c r="J25" s="56"/>
      <c r="K25" s="56"/>
      <c r="L25" s="62">
        <f>G25*(L19+1)</f>
        <v>141177.27272727271</v>
      </c>
      <c r="M25" s="56"/>
      <c r="N25" s="56"/>
      <c r="O25" s="56"/>
      <c r="AA25" s="62"/>
      <c r="AB25" s="70"/>
      <c r="AC25" s="70"/>
      <c r="AD25" s="70"/>
      <c r="AE25" s="70"/>
      <c r="AF25" s="70"/>
      <c r="AG25" s="70"/>
      <c r="AH25" s="70"/>
      <c r="AI25" s="70"/>
      <c r="AJ25" s="56"/>
    </row>
    <row r="27" spans="2:36" s="6" customFormat="1" x14ac:dyDescent="0.2">
      <c r="B27" s="6" t="s">
        <v>179</v>
      </c>
    </row>
    <row r="28" spans="2:36" s="6" customFormat="1" x14ac:dyDescent="0.2">
      <c r="B28" s="7" t="s">
        <v>104</v>
      </c>
      <c r="C28" s="6">
        <v>3.37893196781274E-2</v>
      </c>
      <c r="D28" s="8">
        <f>D36/C36-1</f>
        <v>0.1795936852086415</v>
      </c>
      <c r="E28" s="8">
        <f>E36/D36-1</f>
        <v>-0.14587969933832834</v>
      </c>
      <c r="F28" s="8">
        <f>F36/E36-1</f>
        <v>-3.2307681502447672E-2</v>
      </c>
      <c r="G28" s="8">
        <f>G36/F36-1</f>
        <v>0.39331983364905176</v>
      </c>
      <c r="H28" s="8">
        <f>H36/AF36-1</f>
        <v>9.1940180191167231E-2</v>
      </c>
      <c r="I28" s="8">
        <f>I36/AG36-1</f>
        <v>5.4904251324627618E-2</v>
      </c>
      <c r="J28" s="8">
        <f>J36/AH36-1</f>
        <v>2.7672479150871787E-2</v>
      </c>
      <c r="K28" s="8"/>
      <c r="L28" s="64">
        <f>L36/G36-1</f>
        <v>3.499999999999992E-2</v>
      </c>
      <c r="P28" s="8"/>
      <c r="Q28" s="8"/>
      <c r="R28" s="8"/>
      <c r="S28" s="8"/>
      <c r="T28" s="8">
        <f>T36/P36-1</f>
        <v>0.13236970833793071</v>
      </c>
      <c r="U28" s="8">
        <f>U36/Q36-1</f>
        <v>0.1438539504947518</v>
      </c>
      <c r="V28" s="8">
        <f>V36/R36-1</f>
        <v>0.20365451179264271</v>
      </c>
      <c r="W28" s="8">
        <f>W36/S36-1</f>
        <v>0.28908687513000064</v>
      </c>
      <c r="X28" s="8">
        <f>X36/T36-1</f>
        <v>-0.15580745745095492</v>
      </c>
      <c r="Y28" s="8">
        <f>Y36/U36-1</f>
        <v>-0.18355595288178372</v>
      </c>
      <c r="Z28" s="8">
        <f>Z36/V36-1</f>
        <v>-0.13107737577743594</v>
      </c>
      <c r="AA28" s="8">
        <f>AA36/W36-1</f>
        <v>-0.10281027295952672</v>
      </c>
      <c r="AB28" s="8">
        <f>AB36/X36-1</f>
        <v>7.6468777653803333E-2</v>
      </c>
      <c r="AC28" s="8">
        <f>AC36/Y36-1</f>
        <v>-6.727641621847924E-2</v>
      </c>
      <c r="AD28" s="8">
        <f>AD36/Z36-1</f>
        <v>1.6624336181020549E-2</v>
      </c>
      <c r="AE28" s="8">
        <f>AE36/AA36-1</f>
        <v>-0.20736166896469033</v>
      </c>
      <c r="AF28" s="8">
        <f>AF36/AB36-1</f>
        <v>0.1722751398395197</v>
      </c>
      <c r="AG28" s="8">
        <f>AG36/AC36-1</f>
        <v>0.65520336993301576</v>
      </c>
      <c r="AH28" s="8">
        <f>AH36/AD36-1</f>
        <v>0.49784238019532134</v>
      </c>
      <c r="AI28" s="8">
        <f>AI36/AE36-1</f>
        <v>0.46982302223566785</v>
      </c>
    </row>
    <row r="29" spans="2:36" s="6" customFormat="1" x14ac:dyDescent="0.2">
      <c r="B29" s="7" t="s">
        <v>106</v>
      </c>
      <c r="C29" s="6">
        <v>0.13223249091148004</v>
      </c>
      <c r="D29" s="8">
        <f>D37/C37-1</f>
        <v>-1.4158607350096664E-2</v>
      </c>
      <c r="E29" s="8">
        <f>E37/D37-1</f>
        <v>1.00455187568671E-2</v>
      </c>
      <c r="F29" s="8">
        <f>F37/E37-1</f>
        <v>0.11196581196581201</v>
      </c>
      <c r="G29" s="8">
        <f>G37/F37-1</f>
        <v>0.22947383131856625</v>
      </c>
      <c r="H29" s="8">
        <f>H37/AF37-1</f>
        <v>0.2509510086455331</v>
      </c>
      <c r="I29" s="8">
        <f>I37/AG37-1</f>
        <v>0.14645132937815863</v>
      </c>
      <c r="J29" s="8">
        <f>J37/AH37-1</f>
        <v>-0.10358227079538551</v>
      </c>
      <c r="K29" s="8"/>
      <c r="L29" s="64">
        <f>L37/G37-1</f>
        <v>0.13300000000000001</v>
      </c>
      <c r="T29" s="8">
        <f>T37/P37-1</f>
        <v>-4.817780231916069E-2</v>
      </c>
      <c r="U29" s="8">
        <f>U37/Q37-1</f>
        <v>6.8446269678301697E-4</v>
      </c>
      <c r="V29" s="8">
        <f>V37/R37-1</f>
        <v>-4.6852646638054329E-2</v>
      </c>
      <c r="W29" s="8">
        <f>W37/S37-1</f>
        <v>3.3612273361227407E-2</v>
      </c>
      <c r="X29" s="8">
        <f>X37/T37-1</f>
        <v>7.5562001450326433E-2</v>
      </c>
      <c r="Y29" s="8">
        <f>Y37/U37-1</f>
        <v>-5.728454172366626E-2</v>
      </c>
      <c r="Z29" s="8">
        <f>Z37/V37-1</f>
        <v>9.1932457786116251E-2</v>
      </c>
      <c r="AA29" s="8">
        <f>AA37/W37-1</f>
        <v>-5.6672513830792082E-2</v>
      </c>
      <c r="AB29" s="8">
        <f>AB37/X37-1</f>
        <v>-3.4519956850053934E-2</v>
      </c>
      <c r="AC29" s="8">
        <f>AC37/Y37-1</f>
        <v>-2.9385089787774321E-2</v>
      </c>
      <c r="AD29" s="8">
        <f>AD37/Z37-1</f>
        <v>0.21632302405498272</v>
      </c>
      <c r="AE29" s="8">
        <f>AE37/AA37-1</f>
        <v>0.2919467887283651</v>
      </c>
      <c r="AF29" s="8">
        <f>AF37/AB37-1</f>
        <v>0.21159217877094982</v>
      </c>
      <c r="AG29" s="8">
        <f>AG37/AC37-1</f>
        <v>0.70099046907120166</v>
      </c>
      <c r="AH29" s="8">
        <f>AH37/AD37-1</f>
        <v>0.16329990111597681</v>
      </c>
      <c r="AI29" s="8">
        <f>AI37/AE37-1</f>
        <v>1.6164747564216153E-2</v>
      </c>
    </row>
    <row r="30" spans="2:36" s="6" customFormat="1" x14ac:dyDescent="0.2">
      <c r="B30" s="7" t="s">
        <v>105</v>
      </c>
      <c r="C30" s="6">
        <v>-6.8159782819468662E-2</v>
      </c>
      <c r="D30" s="8">
        <f>D38/C38-1</f>
        <v>-2.169389241494124E-2</v>
      </c>
      <c r="E30" s="8">
        <f>E38/D38-1</f>
        <v>0.13161393246477004</v>
      </c>
      <c r="F30" s="8">
        <f>F38/E38-1</f>
        <v>0.11484962406015042</v>
      </c>
      <c r="G30" s="8">
        <f>G38/F38-1</f>
        <v>0.34302815714044854</v>
      </c>
      <c r="H30" s="8">
        <f>H38/AF38-1</f>
        <v>-0.14072317723770011</v>
      </c>
      <c r="I30" s="8">
        <f>I38/AG38-1</f>
        <v>-2.0622518252849997E-2</v>
      </c>
      <c r="J30" s="8">
        <f>J38/AH38-1</f>
        <v>-1.9543973941368087E-2</v>
      </c>
      <c r="K30" s="8"/>
      <c r="L30" s="64">
        <f>L38/G38-1</f>
        <v>-3.7000000000000033E-2</v>
      </c>
      <c r="T30" s="8">
        <f>T38/P38-1</f>
        <v>5.9461413338152802E-2</v>
      </c>
      <c r="U30" s="8">
        <f>U38/Q38-1</f>
        <v>5.7598354332733415E-2</v>
      </c>
      <c r="V30" s="8">
        <f>V38/R38-1</f>
        <v>-4.588448379955723E-2</v>
      </c>
      <c r="W30" s="8">
        <f>W38/S38-1</f>
        <v>-0.15359138894638791</v>
      </c>
      <c r="X30" s="8">
        <f>X38/T38-1</f>
        <v>0.14790174002047074</v>
      </c>
      <c r="Y30" s="8">
        <f>Y38/U38-1</f>
        <v>0.18453683442742519</v>
      </c>
      <c r="Z30" s="8">
        <f>Z38/V38-1</f>
        <v>5.9481122126133767E-2</v>
      </c>
      <c r="AA30" s="8">
        <f>AA38/W38-1</f>
        <v>0.13866471019809246</v>
      </c>
      <c r="AB30" s="8">
        <f>AB38/X38-1</f>
        <v>-0.11175508990934757</v>
      </c>
      <c r="AC30" s="8">
        <f>AC38/Y38-1</f>
        <v>-0.10344827586206895</v>
      </c>
      <c r="AD30" s="8">
        <f>AD38/Z38-1</f>
        <v>0.31037228747760293</v>
      </c>
      <c r="AE30" s="8">
        <f>AE38/AA38-1</f>
        <v>0.45983676975945009</v>
      </c>
      <c r="AF30" s="8">
        <f>AF38/AB38-1</f>
        <v>0.4112430985444202</v>
      </c>
      <c r="AG30" s="8">
        <f>AG38/AC38-1</f>
        <v>0.78731684981684991</v>
      </c>
      <c r="AH30" s="8">
        <f>AH38/AD38-1</f>
        <v>0.11941659070191424</v>
      </c>
      <c r="AI30" s="8">
        <f>AI38/AE38-1</f>
        <v>0.21406502868912747</v>
      </c>
    </row>
    <row r="31" spans="2:36" s="6" customFormat="1" x14ac:dyDescent="0.2">
      <c r="B31" s="7" t="s">
        <v>107</v>
      </c>
      <c r="C31" s="6">
        <v>0.15549766439094492</v>
      </c>
      <c r="D31" s="8">
        <f>D39/C39-1</f>
        <v>0.35403871569618284</v>
      </c>
      <c r="E31" s="8">
        <f>E39/D39-1</f>
        <v>0.40563816960440957</v>
      </c>
      <c r="F31" s="8">
        <f>F39/E39-1</f>
        <v>0.25071481088146386</v>
      </c>
      <c r="G31" s="8">
        <f>G39/F39-1</f>
        <v>0.2530045721750489</v>
      </c>
      <c r="H31" s="8">
        <f>H39/AF39-1</f>
        <v>0.13337445069771037</v>
      </c>
      <c r="I31" s="8">
        <f>I39/AG39-1</f>
        <v>0.12378764675855036</v>
      </c>
      <c r="J31" s="8">
        <f>J39/AH39-1</f>
        <v>-7.8746438746438718E-2</v>
      </c>
      <c r="K31" s="8"/>
      <c r="L31" s="64">
        <f>L39/G39-1</f>
        <v>-0.10750000000000004</v>
      </c>
      <c r="T31" s="8">
        <f>T39/P39-1</f>
        <v>0.36406560636182905</v>
      </c>
      <c r="U31" s="8">
        <f>U39/Q39-1</f>
        <v>0.37626174730247119</v>
      </c>
      <c r="V31" s="8">
        <f>V39/R39-1</f>
        <v>0.36745886654478976</v>
      </c>
      <c r="W31" s="8">
        <f>W39/S39-1</f>
        <v>0.31043020736614046</v>
      </c>
      <c r="X31" s="8">
        <f>X39/T39-1</f>
        <v>0.33139005283293854</v>
      </c>
      <c r="Y31" s="8">
        <f>Y39/U39-1</f>
        <v>0.29716742539200802</v>
      </c>
      <c r="Z31" s="8">
        <f>Z39/V39-1</f>
        <v>0.47727272727272729</v>
      </c>
      <c r="AA31" s="8">
        <f>AA39/W39-1</f>
        <v>0.53991497401983946</v>
      </c>
      <c r="AB31" s="8">
        <f>AB39/X39-1</f>
        <v>0.36973180076628354</v>
      </c>
      <c r="AC31" s="8">
        <f>AC39/Y39-1</f>
        <v>0.22519009553519198</v>
      </c>
      <c r="AD31" s="8">
        <f>AD39/Z39-1</f>
        <v>0.16742081447963808</v>
      </c>
      <c r="AE31" s="8">
        <f>AE39/AA39-1</f>
        <v>0.2079754601226993</v>
      </c>
      <c r="AF31" s="8">
        <f>AF39/AB39-1</f>
        <v>0.2958041958041957</v>
      </c>
      <c r="AG31" s="8">
        <f>AG39/AC39-1</f>
        <v>0.2469764481222152</v>
      </c>
      <c r="AH31" s="8">
        <f>AH39/AD39-1</f>
        <v>0.36046511627906974</v>
      </c>
      <c r="AI31" s="8">
        <f>AI39/AE39-1</f>
        <v>0.11541391569324522</v>
      </c>
    </row>
    <row r="32" spans="2:36" s="6" customFormat="1" x14ac:dyDescent="0.2">
      <c r="B32" s="7" t="s">
        <v>65</v>
      </c>
      <c r="C32" s="6">
        <v>0.23131263348118947</v>
      </c>
      <c r="D32" s="8">
        <f>D40/C40-1</f>
        <v>0.24049366244162784</v>
      </c>
      <c r="E32" s="8">
        <f>E40/D40-1</f>
        <v>0.24471632159182577</v>
      </c>
      <c r="F32" s="8">
        <f>F40/E40-1</f>
        <v>0.16152167807997242</v>
      </c>
      <c r="G32" s="8">
        <f>G40/F40-1</f>
        <v>0.27259708376729663</v>
      </c>
      <c r="H32" s="8">
        <f>H40/AF40-1</f>
        <v>0.23824630416851722</v>
      </c>
      <c r="I32" s="8">
        <f>I40/AG40-1</f>
        <v>0.17277084196201398</v>
      </c>
      <c r="J32" s="8">
        <f>J40/AH40-1</f>
        <v>0.12112547180601618</v>
      </c>
      <c r="K32" s="8"/>
      <c r="L32" s="44">
        <v>0.1</v>
      </c>
      <c r="T32" s="8">
        <f>T40/P40-1</f>
        <v>0.18112102621305071</v>
      </c>
      <c r="U32" s="8">
        <f>U40/Q40-1</f>
        <v>0.30521232779434748</v>
      </c>
      <c r="V32" s="8">
        <f>V40/R40-1</f>
        <v>0.31406551059730248</v>
      </c>
      <c r="W32" s="8">
        <f>W40/S40-1</f>
        <v>0.1740971650394072</v>
      </c>
      <c r="X32" s="8">
        <f>X40/T40-1</f>
        <v>0.28379176012277174</v>
      </c>
      <c r="Y32" s="8">
        <f>Y40/U40-1</f>
        <v>0.24591947769314482</v>
      </c>
      <c r="Z32" s="8">
        <f>Z40/V40-1</f>
        <v>0.19972769166317561</v>
      </c>
      <c r="AA32" s="8">
        <f>AA40/W40-1</f>
        <v>0.25348161506863032</v>
      </c>
      <c r="AB32" s="8">
        <f>AB40/X40-1</f>
        <v>0.16919540229885066</v>
      </c>
      <c r="AC32" s="8">
        <f>AC40/Y40-1</f>
        <v>0.16576419213973792</v>
      </c>
      <c r="AD32" s="8">
        <f>AD40/Z40-1</f>
        <v>0.14849410737669144</v>
      </c>
      <c r="AE32" s="8">
        <f>AE40/AA40-1</f>
        <v>0.16289665094716654</v>
      </c>
      <c r="AF32" s="8">
        <f>AF40/AB40-1</f>
        <v>0.23955957530475813</v>
      </c>
      <c r="AG32" s="8">
        <f>AG40/AC40-1</f>
        <v>0.26618219958046141</v>
      </c>
      <c r="AH32" s="8">
        <f>AH40/AD40-1</f>
        <v>0.32912739434478566</v>
      </c>
      <c r="AI32" s="8">
        <f>AI40/AE40-1</f>
        <v>0.25623754209911342</v>
      </c>
    </row>
    <row r="33" spans="2:35" s="16" customFormat="1" ht="15" customHeight="1" x14ac:dyDescent="0.2">
      <c r="B33" s="15" t="s">
        <v>108</v>
      </c>
      <c r="C33" s="16">
        <v>6.304518199398057E-2</v>
      </c>
      <c r="D33" s="17">
        <f>D41/C41-1</f>
        <v>0.15861957650261305</v>
      </c>
      <c r="E33" s="17">
        <f>E41/D41-1</f>
        <v>-2.04107758052674E-2</v>
      </c>
      <c r="F33" s="17">
        <f>F41/E41-1</f>
        <v>5.5120803769784787E-2</v>
      </c>
      <c r="G33" s="17">
        <f>G41/F41-1</f>
        <v>0.33259384733074704</v>
      </c>
      <c r="H33" s="17">
        <f>H41/AF41-1</f>
        <v>0.11222283042740866</v>
      </c>
      <c r="I33" s="17">
        <f>I41/AG41-1</f>
        <v>8.5885872477228009E-2</v>
      </c>
      <c r="J33" s="17">
        <f>J41/AH41-1</f>
        <v>1.8726821720657316E-2</v>
      </c>
      <c r="K33" s="17"/>
      <c r="L33" s="71">
        <f>L41/G41</f>
        <v>1.0353687185122615</v>
      </c>
      <c r="M33" s="79"/>
      <c r="N33" s="79"/>
      <c r="O33" s="79"/>
      <c r="T33" s="17">
        <f>T41/P41-1</f>
        <v>0.12689053107171566</v>
      </c>
      <c r="U33" s="17">
        <f>U41/Q41-1</f>
        <v>0.15579627949183306</v>
      </c>
      <c r="V33" s="17">
        <f>V41/R41-1</f>
        <v>0.17303118393234662</v>
      </c>
      <c r="W33" s="17">
        <f>W41/S41-1</f>
        <v>0.19629509880370488</v>
      </c>
      <c r="X33" s="17">
        <f>X41/T41-1</f>
        <v>-4.5111163965433243E-2</v>
      </c>
      <c r="Y33" s="17">
        <f>Y41/U41-1</f>
        <v>-5.1065639465462831E-2</v>
      </c>
      <c r="Z33" s="17">
        <f>Z41/V41-1</f>
        <v>1.0213085515817122E-2</v>
      </c>
      <c r="AA33" s="17">
        <f>AA41/W41-1</f>
        <v>1.8124006359300449E-2</v>
      </c>
      <c r="AB33" s="17">
        <f>AB41/X41-1</f>
        <v>8.9064167951607098E-2</v>
      </c>
      <c r="AC33" s="17">
        <f>AC41/Y41-1</f>
        <v>5.1366026027750422E-3</v>
      </c>
      <c r="AD33" s="17">
        <f>AD41/Z41-1</f>
        <v>0.10920106301919752</v>
      </c>
      <c r="AE33" s="17">
        <f>AE41/AA41-1</f>
        <v>1.0274828232354816E-2</v>
      </c>
      <c r="AF33" s="17">
        <f>AF41/AB41-1</f>
        <v>0.21368126422635836</v>
      </c>
      <c r="AG33" s="17">
        <f>AG41/AC41-1</f>
        <v>0.53626121105070901</v>
      </c>
      <c r="AH33" s="17">
        <f>AH41/AD41-1</f>
        <v>0.36439641450950822</v>
      </c>
      <c r="AI33" s="17">
        <f>AI41/AE41-1</f>
        <v>0.28844786546724777</v>
      </c>
    </row>
    <row r="34" spans="2:35" s="32" customFormat="1" x14ac:dyDescent="0.2">
      <c r="B34" s="31"/>
      <c r="D34" s="33"/>
      <c r="E34" s="33"/>
      <c r="F34" s="33"/>
      <c r="G34" s="33"/>
      <c r="H34" s="33"/>
      <c r="I34" s="33"/>
      <c r="J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</row>
    <row r="35" spans="2:35" s="32" customFormat="1" x14ac:dyDescent="0.2">
      <c r="B35" s="31" t="s">
        <v>169</v>
      </c>
      <c r="D35" s="33"/>
      <c r="E35" s="33"/>
      <c r="F35" s="33"/>
      <c r="G35" s="33"/>
      <c r="H35" s="33"/>
      <c r="I35" s="33"/>
      <c r="J35" s="33"/>
      <c r="L35" s="58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</row>
    <row r="36" spans="2:35" s="45" customFormat="1" x14ac:dyDescent="0.2">
      <c r="B36" s="39" t="s">
        <v>61</v>
      </c>
      <c r="C36" s="5">
        <v>141319</v>
      </c>
      <c r="D36" s="39">
        <v>166699</v>
      </c>
      <c r="E36" s="39">
        <v>142381</v>
      </c>
      <c r="F36" s="39">
        <v>137781</v>
      </c>
      <c r="G36" s="39">
        <v>191973</v>
      </c>
      <c r="H36" s="39">
        <v>71628</v>
      </c>
      <c r="I36" s="39">
        <v>50570</v>
      </c>
      <c r="J36" s="39">
        <v>40665</v>
      </c>
      <c r="L36" s="62">
        <f>L22*L10/1000</f>
        <v>198692.05499999996</v>
      </c>
      <c r="P36" s="39">
        <v>54378</v>
      </c>
      <c r="Q36" s="39">
        <v>33249</v>
      </c>
      <c r="R36" s="39">
        <v>24846</v>
      </c>
      <c r="S36" s="39">
        <v>28846</v>
      </c>
      <c r="T36" s="5">
        <v>61576</v>
      </c>
      <c r="U36" s="39">
        <v>38032</v>
      </c>
      <c r="V36" s="39">
        <v>29906</v>
      </c>
      <c r="W36" s="39">
        <v>37185</v>
      </c>
      <c r="X36" s="39">
        <v>51982</v>
      </c>
      <c r="Y36" s="39">
        <v>31051</v>
      </c>
      <c r="Z36" s="39">
        <v>25986</v>
      </c>
      <c r="AA36" s="39">
        <v>33362</v>
      </c>
      <c r="AB36" s="39">
        <v>55957</v>
      </c>
      <c r="AC36" s="39">
        <v>28962</v>
      </c>
      <c r="AD36" s="39">
        <v>26418</v>
      </c>
      <c r="AE36" s="39">
        <v>26444</v>
      </c>
      <c r="AF36" s="39">
        <v>65597</v>
      </c>
      <c r="AG36" s="39">
        <v>47938</v>
      </c>
      <c r="AH36" s="39">
        <v>39570</v>
      </c>
      <c r="AI36" s="39">
        <v>38868</v>
      </c>
    </row>
    <row r="37" spans="2:35" s="45" customFormat="1" x14ac:dyDescent="0.2">
      <c r="B37" s="39" t="s">
        <v>62</v>
      </c>
      <c r="C37" s="5">
        <v>25850</v>
      </c>
      <c r="D37" s="39">
        <v>25484</v>
      </c>
      <c r="E37" s="39">
        <v>25740</v>
      </c>
      <c r="F37" s="39">
        <v>28622</v>
      </c>
      <c r="G37" s="39">
        <v>35190</v>
      </c>
      <c r="H37" s="39">
        <v>10852</v>
      </c>
      <c r="I37" s="39">
        <v>10435</v>
      </c>
      <c r="J37" s="39">
        <v>7382</v>
      </c>
      <c r="L37" s="62">
        <f t="shared" ref="L37:L38" si="3">L23*L11/1000</f>
        <v>39870.269999999997</v>
      </c>
      <c r="P37" s="39">
        <v>7244</v>
      </c>
      <c r="Q37" s="39">
        <v>5844</v>
      </c>
      <c r="R37" s="39">
        <v>5592</v>
      </c>
      <c r="S37" s="39">
        <v>7170</v>
      </c>
      <c r="T37" s="5">
        <v>6895</v>
      </c>
      <c r="U37" s="39">
        <v>5848</v>
      </c>
      <c r="V37" s="39">
        <v>5330</v>
      </c>
      <c r="W37" s="39">
        <v>7411</v>
      </c>
      <c r="X37" s="39">
        <v>7416</v>
      </c>
      <c r="Y37" s="39">
        <v>5513</v>
      </c>
      <c r="Z37" s="39">
        <v>5820</v>
      </c>
      <c r="AA37" s="39">
        <v>6991</v>
      </c>
      <c r="AB37" s="39">
        <v>7160</v>
      </c>
      <c r="AC37" s="39">
        <v>5351</v>
      </c>
      <c r="AD37" s="39">
        <v>7079</v>
      </c>
      <c r="AE37" s="39">
        <v>9032</v>
      </c>
      <c r="AF37" s="39">
        <v>8675</v>
      </c>
      <c r="AG37" s="39">
        <v>9102</v>
      </c>
      <c r="AH37" s="39">
        <v>8235</v>
      </c>
      <c r="AI37" s="39">
        <v>9178</v>
      </c>
    </row>
    <row r="38" spans="2:35" s="45" customFormat="1" x14ac:dyDescent="0.2">
      <c r="B38" s="39" t="s">
        <v>63</v>
      </c>
      <c r="C38" s="5">
        <v>19222</v>
      </c>
      <c r="D38" s="39">
        <v>18805</v>
      </c>
      <c r="E38" s="39">
        <v>21280</v>
      </c>
      <c r="F38" s="39">
        <v>23724</v>
      </c>
      <c r="G38" s="39">
        <v>31862</v>
      </c>
      <c r="H38" s="39">
        <v>7248</v>
      </c>
      <c r="I38" s="39">
        <v>7646</v>
      </c>
      <c r="J38" s="39">
        <v>7224</v>
      </c>
      <c r="L38" s="62">
        <f t="shared" si="3"/>
        <v>30683.106</v>
      </c>
      <c r="P38" s="39">
        <v>5533</v>
      </c>
      <c r="Q38" s="39">
        <v>3889</v>
      </c>
      <c r="R38" s="39">
        <v>4969</v>
      </c>
      <c r="S38" s="39">
        <v>4831</v>
      </c>
      <c r="T38" s="5">
        <v>5862</v>
      </c>
      <c r="U38" s="39">
        <v>4113</v>
      </c>
      <c r="V38" s="39">
        <v>4741</v>
      </c>
      <c r="W38" s="39">
        <v>4089</v>
      </c>
      <c r="X38" s="39">
        <v>6729</v>
      </c>
      <c r="Y38" s="39">
        <v>4872</v>
      </c>
      <c r="Z38" s="39">
        <v>5023</v>
      </c>
      <c r="AA38" s="39">
        <v>4656</v>
      </c>
      <c r="AB38" s="39">
        <v>5977</v>
      </c>
      <c r="AC38" s="39">
        <v>4368</v>
      </c>
      <c r="AD38" s="39">
        <v>6582</v>
      </c>
      <c r="AE38" s="39">
        <v>6797</v>
      </c>
      <c r="AF38" s="39">
        <v>8435</v>
      </c>
      <c r="AG38" s="39">
        <v>7807</v>
      </c>
      <c r="AH38" s="39">
        <v>7368</v>
      </c>
      <c r="AI38" s="39">
        <v>8252</v>
      </c>
    </row>
    <row r="39" spans="2:35" s="45" customFormat="1" x14ac:dyDescent="0.2">
      <c r="B39" s="39" t="s">
        <v>64</v>
      </c>
      <c r="C39" s="5">
        <v>12863</v>
      </c>
      <c r="D39" s="39">
        <v>17417</v>
      </c>
      <c r="E39" s="39">
        <v>24482</v>
      </c>
      <c r="F39" s="39">
        <v>30620</v>
      </c>
      <c r="G39" s="39">
        <v>38367</v>
      </c>
      <c r="H39" s="39">
        <v>14701</v>
      </c>
      <c r="I39" s="39">
        <v>8806</v>
      </c>
      <c r="J39" s="39">
        <v>8084</v>
      </c>
      <c r="L39" s="62">
        <f>L25*L13/1000</f>
        <v>34242.547500000001</v>
      </c>
      <c r="P39" s="39">
        <v>4024</v>
      </c>
      <c r="Q39" s="39">
        <v>2873</v>
      </c>
      <c r="R39" s="39">
        <v>2735</v>
      </c>
      <c r="S39" s="39">
        <v>3231</v>
      </c>
      <c r="T39" s="5">
        <v>5489</v>
      </c>
      <c r="U39" s="39">
        <v>3954</v>
      </c>
      <c r="V39" s="39">
        <v>3740</v>
      </c>
      <c r="W39" s="39">
        <v>4234</v>
      </c>
      <c r="X39" s="39">
        <v>7308</v>
      </c>
      <c r="Y39" s="39">
        <v>5129</v>
      </c>
      <c r="Z39" s="39">
        <v>5525</v>
      </c>
      <c r="AA39" s="39">
        <v>6520</v>
      </c>
      <c r="AB39" s="39">
        <v>10010</v>
      </c>
      <c r="AC39" s="39">
        <v>6284</v>
      </c>
      <c r="AD39" s="39">
        <v>6450</v>
      </c>
      <c r="AE39" s="39">
        <v>7876</v>
      </c>
      <c r="AF39" s="39">
        <v>12971</v>
      </c>
      <c r="AG39" s="39">
        <v>7836</v>
      </c>
      <c r="AH39" s="39">
        <v>8775</v>
      </c>
      <c r="AI39" s="39">
        <v>8785</v>
      </c>
    </row>
    <row r="40" spans="2:35" s="45" customFormat="1" x14ac:dyDescent="0.2">
      <c r="B40" s="39" t="s">
        <v>65</v>
      </c>
      <c r="C40" s="5">
        <v>29980</v>
      </c>
      <c r="D40" s="39">
        <v>37190</v>
      </c>
      <c r="E40" s="39">
        <v>46291</v>
      </c>
      <c r="F40" s="39">
        <v>53768</v>
      </c>
      <c r="G40" s="39">
        <v>68425</v>
      </c>
      <c r="H40" s="39">
        <v>19516</v>
      </c>
      <c r="I40" s="39">
        <v>19821</v>
      </c>
      <c r="J40" s="39">
        <v>19604</v>
      </c>
      <c r="L40" s="62">
        <f>G40*(L32+1)</f>
        <v>75267.5</v>
      </c>
      <c r="P40" s="39">
        <v>7172</v>
      </c>
      <c r="Q40" s="39">
        <v>7041</v>
      </c>
      <c r="R40" s="39">
        <v>7266</v>
      </c>
      <c r="S40" s="39">
        <v>8501</v>
      </c>
      <c r="T40" s="5">
        <v>8471</v>
      </c>
      <c r="U40" s="39">
        <v>9190</v>
      </c>
      <c r="V40" s="39">
        <v>9548</v>
      </c>
      <c r="W40" s="39">
        <v>9981</v>
      </c>
      <c r="X40" s="39">
        <v>10875</v>
      </c>
      <c r="Y40" s="39">
        <v>11450</v>
      </c>
      <c r="Z40" s="39">
        <v>11455</v>
      </c>
      <c r="AA40" s="39">
        <v>12511</v>
      </c>
      <c r="AB40" s="39">
        <v>12715</v>
      </c>
      <c r="AC40" s="39">
        <v>13348</v>
      </c>
      <c r="AD40" s="39">
        <v>13156</v>
      </c>
      <c r="AE40" s="39">
        <v>14549</v>
      </c>
      <c r="AF40" s="39">
        <v>15761</v>
      </c>
      <c r="AG40" s="39">
        <v>16901</v>
      </c>
      <c r="AH40" s="39">
        <v>17486</v>
      </c>
      <c r="AI40" s="39">
        <v>18277</v>
      </c>
    </row>
    <row r="41" spans="2:35" s="48" customFormat="1" x14ac:dyDescent="0.2">
      <c r="B41" s="47" t="s">
        <v>66</v>
      </c>
      <c r="C41" s="47">
        <f>SUM(C36:C40)</f>
        <v>229234</v>
      </c>
      <c r="D41" s="47">
        <f t="shared" ref="D41" si="4">SUM(D36:D40)</f>
        <v>265595</v>
      </c>
      <c r="E41" s="47">
        <f>SUM(E36:E40)</f>
        <v>260174</v>
      </c>
      <c r="F41" s="47">
        <f t="shared" ref="F41" si="5">SUM(F36:F40)</f>
        <v>274515</v>
      </c>
      <c r="G41" s="47">
        <f t="shared" ref="G41" si="6">SUM(G36:G40)</f>
        <v>365817</v>
      </c>
      <c r="H41" s="47">
        <f t="shared" ref="H41" si="7">SUM(H36:H40)</f>
        <v>123945</v>
      </c>
      <c r="I41" s="47">
        <f t="shared" ref="I41" si="8">SUM(I36:I40)</f>
        <v>97278</v>
      </c>
      <c r="J41" s="47">
        <f t="shared" ref="J41" si="9">SUM(J36:J40)</f>
        <v>82959</v>
      </c>
      <c r="K41" s="47"/>
      <c r="L41" s="80">
        <f>SUM(L36:L40)</f>
        <v>378755.47849999997</v>
      </c>
      <c r="P41" s="47">
        <f>SUM(P36:P40)</f>
        <v>78351</v>
      </c>
      <c r="Q41" s="47">
        <f t="shared" ref="Q41:V41" si="10">SUM(Q36:Q40)</f>
        <v>52896</v>
      </c>
      <c r="R41" s="47">
        <f t="shared" si="10"/>
        <v>45408</v>
      </c>
      <c r="S41" s="47">
        <f t="shared" si="10"/>
        <v>52579</v>
      </c>
      <c r="T41" s="47">
        <f t="shared" si="10"/>
        <v>88293</v>
      </c>
      <c r="U41" s="47">
        <f t="shared" si="10"/>
        <v>61137</v>
      </c>
      <c r="V41" s="47">
        <f t="shared" si="10"/>
        <v>53265</v>
      </c>
      <c r="W41" s="47">
        <f t="shared" ref="W41" si="11">SUM(W36:W40)</f>
        <v>62900</v>
      </c>
      <c r="X41" s="47">
        <f t="shared" ref="X41" si="12">SUM(X36:X40)</f>
        <v>84310</v>
      </c>
      <c r="Y41" s="47">
        <f t="shared" ref="Y41" si="13">SUM(Y36:Y40)</f>
        <v>58015</v>
      </c>
      <c r="Z41" s="47">
        <f t="shared" ref="Z41" si="14">SUM(Z36:Z40)</f>
        <v>53809</v>
      </c>
      <c r="AA41" s="47">
        <f t="shared" ref="AA41" si="15">SUM(AA36:AA40)</f>
        <v>64040</v>
      </c>
      <c r="AB41" s="47">
        <f>SUM(AB36:AB40)</f>
        <v>91819</v>
      </c>
      <c r="AC41" s="47">
        <f t="shared" ref="AC41" si="16">SUM(AC36:AC40)</f>
        <v>58313</v>
      </c>
      <c r="AD41" s="47">
        <f t="shared" ref="AD41" si="17">SUM(AD36:AD40)</f>
        <v>59685</v>
      </c>
      <c r="AE41" s="47">
        <f t="shared" ref="AE41" si="18">SUM(AE36:AE40)</f>
        <v>64698</v>
      </c>
      <c r="AF41" s="47">
        <f t="shared" ref="AF41" si="19">SUM(AF36:AF40)</f>
        <v>111439</v>
      </c>
      <c r="AG41" s="47">
        <f t="shared" ref="AG41" si="20">SUM(AG36:AG40)</f>
        <v>89584</v>
      </c>
      <c r="AH41" s="47">
        <f t="shared" ref="AH41" si="21">SUM(AH36:AH40)</f>
        <v>81434</v>
      </c>
      <c r="AI41" s="47">
        <f t="shared" ref="AI41" si="22">SUM(AI36:AI40)</f>
        <v>83360</v>
      </c>
    </row>
    <row r="42" spans="2:35" s="9" customFormat="1" x14ac:dyDescent="0.2">
      <c r="B42" s="30"/>
      <c r="C42" s="30"/>
      <c r="D42" s="30"/>
      <c r="E42" s="30"/>
      <c r="F42" s="30"/>
      <c r="G42" s="30"/>
      <c r="H42" s="30"/>
      <c r="I42" s="30"/>
      <c r="J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</row>
    <row r="43" spans="2:35" s="6" customFormat="1" x14ac:dyDescent="0.2">
      <c r="B43" s="6" t="s">
        <v>162</v>
      </c>
    </row>
    <row r="44" spans="2:35" s="6" customFormat="1" x14ac:dyDescent="0.2">
      <c r="B44" s="7" t="s">
        <v>164</v>
      </c>
      <c r="C44" s="6">
        <v>0.11530601641785876</v>
      </c>
      <c r="D44" s="8">
        <f>D60/C60-W480</f>
        <v>1.160383022774327</v>
      </c>
      <c r="E44" s="8">
        <f>E60/D60-AA480</f>
        <v>1.0430089300848402</v>
      </c>
      <c r="F44" s="8">
        <f>F60/E60-AE480</f>
        <v>1.0653642848589562</v>
      </c>
      <c r="G44" s="8">
        <f>G60/F60-AI480</f>
        <v>1.2308198721860046</v>
      </c>
      <c r="H44" s="8">
        <f>H60/AF60-G480</f>
        <v>1.1119844526020297</v>
      </c>
      <c r="I44" s="8">
        <f>I60/AG60-H480</f>
        <v>1.1916865854369498</v>
      </c>
      <c r="J44" s="8">
        <f>J60/AH60-I480</f>
        <v>1.0446612768330081</v>
      </c>
      <c r="K44" s="8"/>
      <c r="L44" s="64">
        <f>L60/G60-K480</f>
        <v>1.0541143079665889</v>
      </c>
      <c r="P44" s="8"/>
      <c r="Q44" s="8"/>
      <c r="R44" s="8"/>
      <c r="S44" s="8"/>
      <c r="T44" s="8">
        <f>T60/P60-C480</f>
        <v>1.100882132132132</v>
      </c>
      <c r="U44" s="8">
        <f>U60/Q60-T480</f>
        <v>1.1741267665548045</v>
      </c>
      <c r="V44" s="8">
        <f>V60/R60-U480</f>
        <v>1.2044562230074598</v>
      </c>
      <c r="W44" s="8">
        <f>W60/S60-V480</f>
        <v>1.1912636910688774</v>
      </c>
      <c r="X44" s="8">
        <f>X60/T60-D480</f>
        <v>1.0496405535191657</v>
      </c>
      <c r="Y44" s="8">
        <f>Y60/U60-X480</f>
        <v>1.0303933013968842</v>
      </c>
      <c r="Z44" s="8">
        <f>Z60/V60-Y480</f>
        <v>1.0209436883709559</v>
      </c>
      <c r="AA44" s="8">
        <f>AA60/W60-Z480</f>
        <v>1.0655958134971109</v>
      </c>
      <c r="AB44" s="8">
        <f>AB60/X60-E480</f>
        <v>1.1198429886302113</v>
      </c>
      <c r="AC44" s="8">
        <f>AC60/Y60-AB480</f>
        <v>0.99519456165025788</v>
      </c>
      <c r="AD44" s="8">
        <f>AD60/Z60-AC480</f>
        <v>1.0783045977011494</v>
      </c>
      <c r="AE44" s="8">
        <f>AE60/AA60-AD480</f>
        <v>1.0469272218811814</v>
      </c>
      <c r="AF44" s="8">
        <f>AF60/AB60-F480</f>
        <v>1.1194913820194841</v>
      </c>
      <c r="AG44" s="8">
        <f>AG60/AC60-AF480</f>
        <v>1.3467593137832214</v>
      </c>
      <c r="AH44" s="8">
        <f>AH60/AD60-AG480</f>
        <v>1.3276334295654748</v>
      </c>
      <c r="AI44" s="8">
        <f>AI60/AE60-AH480</f>
        <v>1.1994266727474103</v>
      </c>
    </row>
    <row r="45" spans="2:35" s="6" customFormat="1" x14ac:dyDescent="0.2">
      <c r="B45" s="7" t="s">
        <v>165</v>
      </c>
      <c r="C45" s="6">
        <v>9.9815823190262609E-2</v>
      </c>
      <c r="D45" s="8">
        <f>D61/C61-1</f>
        <v>0.13618988678146282</v>
      </c>
      <c r="E45" s="8">
        <f>E61/D61-1</f>
        <v>-3.4155719320730582E-2</v>
      </c>
      <c r="F45" s="8">
        <f>F61/E61-1</f>
        <v>0.13853503184713367</v>
      </c>
      <c r="G45" s="8">
        <f>G61/F61-1</f>
        <v>0.30109265734265733</v>
      </c>
      <c r="H45" s="8">
        <f>H61/AF61-1</f>
        <v>8.9467516296784622E-2</v>
      </c>
      <c r="I45" s="8">
        <f>I61/AG61-1</f>
        <v>4.5948616600790526E-2</v>
      </c>
      <c r="J45" s="8">
        <f>J61/AH61-1</f>
        <v>1.8159742385049915E-2</v>
      </c>
      <c r="K45" s="8"/>
      <c r="L45" s="64">
        <f>L61/G61-1</f>
        <v>2.3996756310400436E-2</v>
      </c>
      <c r="T45" s="8">
        <f>T61/P61-1</f>
        <v>0.13676367366772846</v>
      </c>
      <c r="U45" s="8">
        <f>U61/Q61-1</f>
        <v>8.7410665200659654E-2</v>
      </c>
      <c r="V45" s="8">
        <f>V61/R61-1</f>
        <v>0.13704918032786884</v>
      </c>
      <c r="W45" s="8">
        <f>W61/S61-1</f>
        <v>0.18241217618571759</v>
      </c>
      <c r="X45" s="8">
        <f>X61/T61-1</f>
        <v>-3.2820366676166057E-2</v>
      </c>
      <c r="Y45" s="8">
        <f>Y61/U61-1</f>
        <v>-5.7200635562617341E-2</v>
      </c>
      <c r="Z45" s="8">
        <f>Z61/V61-1</f>
        <v>-1.7548195748887774E-2</v>
      </c>
      <c r="AA45" s="8">
        <f>AA61/W61-1</f>
        <v>-2.8344818619165268E-2</v>
      </c>
      <c r="AB45" s="8">
        <f>AB61/X61-1</f>
        <v>0.1429062515346462</v>
      </c>
      <c r="AC45" s="8">
        <f>AC61/Y61-1</f>
        <v>9.4990041366630917E-2</v>
      </c>
      <c r="AD45" s="8">
        <f>AD61/Z61-1</f>
        <v>0.18851153039832291</v>
      </c>
      <c r="AE45" s="8">
        <f>AE61/AA61-1</f>
        <v>0.13073732102234703</v>
      </c>
      <c r="AF45" s="8">
        <f>AF61/AB61-1</f>
        <v>0.17329093799682038</v>
      </c>
      <c r="AG45" s="8">
        <f>AG61/AC61-1</f>
        <v>0.55757660556877009</v>
      </c>
      <c r="AH45" s="8">
        <f>AH61/AD61-1</f>
        <v>0.33655542228180346</v>
      </c>
      <c r="AI45" s="8">
        <f>AI61/AE61-1</f>
        <v>0.23041420118343203</v>
      </c>
    </row>
    <row r="46" spans="2:35" s="6" customFormat="1" x14ac:dyDescent="0.2">
      <c r="B46" s="7" t="s">
        <v>166</v>
      </c>
      <c r="C46" s="6">
        <v>-7.6878660397591392E-2</v>
      </c>
      <c r="D46" s="8">
        <f>D62/C62-1</f>
        <v>0.16035206862657492</v>
      </c>
      <c r="E46" s="8">
        <f>E62/D62-1</f>
        <v>-0.15910053521235223</v>
      </c>
      <c r="F46" s="8">
        <f>F62/E62-1</f>
        <v>-7.7155547415174719E-2</v>
      </c>
      <c r="G46" s="8">
        <f>G62/F62-1</f>
        <v>0.69609010618239564</v>
      </c>
      <c r="H46" s="8">
        <f>H62/AF62-1</f>
        <v>0.20973115000234599</v>
      </c>
      <c r="I46" s="8">
        <f>I62/AG62-1</f>
        <v>3.4690884476534345E-2</v>
      </c>
      <c r="J46" s="8">
        <f>J62/AH62-1</f>
        <v>-1.0703156753827381E-2</v>
      </c>
      <c r="K46" s="8"/>
      <c r="L46" s="64">
        <f>L62/G62-1</f>
        <v>-2.6199163116579771E-2</v>
      </c>
      <c r="T46" s="8">
        <f>T62/P62-1</f>
        <v>0.10614180989342703</v>
      </c>
      <c r="U46" s="8">
        <f>U62/Q62-1</f>
        <v>0.21424575797128464</v>
      </c>
      <c r="V46" s="8">
        <f>V62/R62-1</f>
        <v>0.19327836081959027</v>
      </c>
      <c r="W46" s="8">
        <f>W62/S62-1</f>
        <v>0.16426895214774007</v>
      </c>
      <c r="X46" s="8">
        <f>X62/T62-1</f>
        <v>-0.26659612385832032</v>
      </c>
      <c r="Y46" s="8">
        <f>Y62/U62-1</f>
        <v>-0.21544840294840295</v>
      </c>
      <c r="Z46" s="8">
        <f>Z62/V62-1</f>
        <v>-4.1252224897916467E-2</v>
      </c>
      <c r="AA46" s="8">
        <f>AA62/W62-1</f>
        <v>-2.4274822539654739E-2</v>
      </c>
      <c r="AB46" s="8">
        <f>AB62/X62-1</f>
        <v>3.1057787227579903E-2</v>
      </c>
      <c r="AC46" s="8">
        <f>AC62/Y62-1</f>
        <v>-7.4672147191231164E-2</v>
      </c>
      <c r="AD46" s="8">
        <f>AD62/Z62-1</f>
        <v>1.8783444359506296E-2</v>
      </c>
      <c r="AE46" s="8">
        <f>AE62/AA62-1</f>
        <v>-0.28633015987066646</v>
      </c>
      <c r="AF46" s="8">
        <f>AF62/AB62-1</f>
        <v>0.56967152747090877</v>
      </c>
      <c r="AG46" s="8">
        <f>AG62/AC62-1</f>
        <v>0.87498677948175563</v>
      </c>
      <c r="AH46" s="8">
        <f>AH62/AD62-1</f>
        <v>0.58237753242576917</v>
      </c>
      <c r="AI46" s="8">
        <f>AI62/AE62-1</f>
        <v>0.8327460357412535</v>
      </c>
    </row>
    <row r="47" spans="2:35" s="6" customFormat="1" x14ac:dyDescent="0.2">
      <c r="B47" s="7" t="s">
        <v>167</v>
      </c>
      <c r="C47" s="6">
        <v>4.7554347826086918E-2</v>
      </c>
      <c r="D47" s="8">
        <f>D63/C63-1</f>
        <v>0.22556814977725148</v>
      </c>
      <c r="E47" s="8">
        <f>E63/D63-1</f>
        <v>-1.0444945474623824E-2</v>
      </c>
      <c r="F47" s="8">
        <f>F63/E63-1</f>
        <v>-4.0918813354412498E-3</v>
      </c>
      <c r="G47" s="8">
        <f>G63/F63-1</f>
        <v>0.32981604258100661</v>
      </c>
      <c r="H47" s="8">
        <f>H63/AF63-1</f>
        <v>-0.14218467109233557</v>
      </c>
      <c r="I47" s="8">
        <f>I63/AG63-1</f>
        <v>-2.3249806251615102E-3</v>
      </c>
      <c r="J47" s="8">
        <f>J63/AH63-1</f>
        <v>-0.15748762376237624</v>
      </c>
      <c r="K47" s="8"/>
      <c r="L47" s="64">
        <f>L63/G63-1</f>
        <v>5.4114307966588893E-2</v>
      </c>
      <c r="T47" s="8">
        <f>T63/P63-1</f>
        <v>0.25511619840443989</v>
      </c>
      <c r="U47" s="8">
        <f>U63/Q63-1</f>
        <v>0.21917502787068011</v>
      </c>
      <c r="V47" s="8">
        <f>V63/R63-1</f>
        <v>6.7052980132450424E-2</v>
      </c>
      <c r="W47" s="8">
        <f>W63/S63-1</f>
        <v>0.33773976153447371</v>
      </c>
      <c r="X47" s="8">
        <f>X63/T63-1</f>
        <v>-4.5184468702501035E-2</v>
      </c>
      <c r="Y47" s="8">
        <f>Y63/U63-1</f>
        <v>1.1704462326261877E-2</v>
      </c>
      <c r="Z47" s="8">
        <f>Z63/V63-1</f>
        <v>5.5598655288337184E-2</v>
      </c>
      <c r="AA47" s="8">
        <f>AA63/W63-1</f>
        <v>-3.4683200930052283E-2</v>
      </c>
      <c r="AB47" s="8">
        <f>AB63/X63-1</f>
        <v>-9.942112879884224E-2</v>
      </c>
      <c r="AC47" s="8">
        <f>AC63/Y63-1</f>
        <v>-5.8929862617498219E-2</v>
      </c>
      <c r="AD47" s="8">
        <f>AD63/Z63-1</f>
        <v>0.21656050955414008</v>
      </c>
      <c r="AE47" s="8">
        <f>AE63/AA63-1</f>
        <v>8.2296266559613862E-3</v>
      </c>
      <c r="AF47" s="8">
        <f>AF63/AB63-1</f>
        <v>0.33135143821308044</v>
      </c>
      <c r="AG47" s="8">
        <f>AG63/AC63-1</f>
        <v>0.48713023434498659</v>
      </c>
      <c r="AH47" s="8">
        <f>AH63/AD63-1</f>
        <v>0.30165122835279901</v>
      </c>
      <c r="AI47" s="8">
        <f>AI63/AE63-1</f>
        <v>0.19271351781803703</v>
      </c>
    </row>
    <row r="48" spans="2:35" s="6" customFormat="1" x14ac:dyDescent="0.2">
      <c r="B48" s="7" t="s">
        <v>157</v>
      </c>
      <c r="C48" s="6">
        <v>0.11315365460670868</v>
      </c>
      <c r="D48" s="8">
        <f>D64/C64-1</f>
        <v>0.14527271531021779</v>
      </c>
      <c r="E48" s="8">
        <f>E64/D64-1</f>
        <v>2.188774630895618E-2</v>
      </c>
      <c r="F48" s="8">
        <f>F64/E64-1</f>
        <v>0.10147290308072865</v>
      </c>
      <c r="G48" s="8">
        <f>G64/F64-1</f>
        <v>0.34517429694278579</v>
      </c>
      <c r="H48" s="8">
        <f>H64/AF64-1</f>
        <v>0.19270516717325226</v>
      </c>
      <c r="I48" s="8">
        <f>I64/AG64-1</f>
        <v>-6.6542948038176064E-2</v>
      </c>
      <c r="J48" s="8">
        <f>J64/AH64-1</f>
        <v>0.13994439295644123</v>
      </c>
      <c r="K48" s="8"/>
      <c r="L48" s="64">
        <f>L64/G64-1</f>
        <v>0.10431022739356921</v>
      </c>
      <c r="T48" s="8">
        <f>T64/P64-1</f>
        <v>0.16885553470919334</v>
      </c>
      <c r="U48" s="8">
        <f>U64/Q64-1</f>
        <v>4.2951251646903721E-2</v>
      </c>
      <c r="V48" s="8">
        <f>V64/R64-1</f>
        <v>0.16049835104433852</v>
      </c>
      <c r="W48" s="8">
        <f>W64/S64-1</f>
        <v>0.21941678520625896</v>
      </c>
      <c r="X48" s="8">
        <f>X64/T64-1</f>
        <v>1.0944112067707623E-2</v>
      </c>
      <c r="Y48" s="8">
        <f>Y64/U64-1</f>
        <v>-8.6659929257200563E-2</v>
      </c>
      <c r="Z48" s="8">
        <f>Z64/V64-1</f>
        <v>0.13324913167035057</v>
      </c>
      <c r="AA48" s="8">
        <f>AA64/W64-1</f>
        <v>6.6200058326042477E-2</v>
      </c>
      <c r="AB48" s="8">
        <f>AB64/X64-1</f>
        <v>6.495381062355654E-2</v>
      </c>
      <c r="AC48" s="8">
        <f>AC64/Y64-1</f>
        <v>7.4688796680497882E-2</v>
      </c>
      <c r="AD48" s="8">
        <f>AD64/Z64-1</f>
        <v>0.1699637782112009</v>
      </c>
      <c r="AE48" s="8">
        <f>AE64/AA64-1</f>
        <v>0.12992341356673953</v>
      </c>
      <c r="AF48" s="8">
        <f>AF64/AB64-1</f>
        <v>0.11480075901328268</v>
      </c>
      <c r="AG48" s="8">
        <f>AG64/AC64-1</f>
        <v>0.94182754182754191</v>
      </c>
      <c r="AH48" s="8">
        <f>AH64/AD64-1</f>
        <v>0.28482972136222906</v>
      </c>
      <c r="AI48" s="8">
        <f>AI64/AE64-1</f>
        <v>0.25683853788428945</v>
      </c>
    </row>
    <row r="49" spans="2:35" s="16" customFormat="1" x14ac:dyDescent="0.2">
      <c r="B49" s="15" t="s">
        <v>108</v>
      </c>
      <c r="C49" s="16">
        <v>6.304518199398057E-2</v>
      </c>
      <c r="D49" s="17">
        <f>D65/C65-1</f>
        <v>0.15861957650261305</v>
      </c>
      <c r="E49" s="17">
        <f>E65/D65-1</f>
        <v>-2.04107758052674E-2</v>
      </c>
      <c r="F49" s="17">
        <f>F65/E65-1</f>
        <v>5.5120803769784787E-2</v>
      </c>
      <c r="G49" s="17">
        <f>G65/F65-1</f>
        <v>0.33259384733074704</v>
      </c>
      <c r="H49" s="17">
        <f>H65/AF65-1</f>
        <v>0.11222283042740866</v>
      </c>
      <c r="I49" s="17">
        <f>I65/AG65-1</f>
        <v>8.5885872477228009E-2</v>
      </c>
      <c r="J49" s="17">
        <f>J65/AH65-1</f>
        <v>1.8726821720657316E-2</v>
      </c>
      <c r="K49" s="17"/>
      <c r="L49" s="71">
        <f>L65/G65-1</f>
        <v>3.5368718512261532E-2</v>
      </c>
      <c r="T49" s="17">
        <f>T65/P65-1</f>
        <v>0.12689053107171566</v>
      </c>
      <c r="U49" s="17">
        <f>U65/Q65-1</f>
        <v>0.15579627949183306</v>
      </c>
      <c r="V49" s="17">
        <f>V65/R65-1</f>
        <v>0.17303118393234662</v>
      </c>
      <c r="W49" s="17">
        <f>W65/S65-1</f>
        <v>0.19629509880370488</v>
      </c>
      <c r="X49" s="17">
        <f>X65/T65-1</f>
        <v>-4.5111163965433243E-2</v>
      </c>
      <c r="Y49" s="17">
        <f>Y65/U65-1</f>
        <v>-5.1065639465462831E-2</v>
      </c>
      <c r="Z49" s="17">
        <f>Z65/V65-1</f>
        <v>1.0213085515817122E-2</v>
      </c>
      <c r="AA49" s="17">
        <f>AA65/W65-1</f>
        <v>1.8124006359300449E-2</v>
      </c>
      <c r="AB49" s="17">
        <f>AB65/X65-1</f>
        <v>8.9064167951607098E-2</v>
      </c>
      <c r="AC49" s="17">
        <f>AC65/Y65-1</f>
        <v>5.1366026027750422E-3</v>
      </c>
      <c r="AD49" s="17">
        <f>AD65/Z65-1</f>
        <v>0.10920106301919752</v>
      </c>
      <c r="AE49" s="17">
        <f>AE65/AA65-1</f>
        <v>1.0274828232354816E-2</v>
      </c>
      <c r="AF49" s="17">
        <f>AF65/AB65-1</f>
        <v>0.21368126422635836</v>
      </c>
      <c r="AG49" s="17">
        <f>AG65/AC65-1</f>
        <v>0.53626121105070901</v>
      </c>
      <c r="AH49" s="17">
        <f>AH65/AD65-1</f>
        <v>0.36439641450950822</v>
      </c>
      <c r="AI49" s="17">
        <f>AI65/AE65-1</f>
        <v>0.28844786546724777</v>
      </c>
    </row>
    <row r="50" spans="2:35" s="32" customFormat="1" x14ac:dyDescent="0.2">
      <c r="B50" s="31"/>
      <c r="D50" s="8"/>
      <c r="E50" s="8"/>
      <c r="F50" s="8"/>
      <c r="G50" s="8"/>
      <c r="H50" s="8"/>
      <c r="I50" s="8"/>
      <c r="J50" s="8"/>
      <c r="L50" s="33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</row>
    <row r="51" spans="2:35" s="9" customFormat="1" x14ac:dyDescent="0.2">
      <c r="B51" s="30" t="s">
        <v>178</v>
      </c>
      <c r="C51" s="30"/>
      <c r="D51" s="30"/>
      <c r="E51" s="30"/>
      <c r="F51" s="30"/>
      <c r="G51" s="30"/>
      <c r="H51" s="30"/>
      <c r="I51" s="30"/>
      <c r="J51" s="30"/>
      <c r="K51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</row>
    <row r="52" spans="2:35" x14ac:dyDescent="0.2">
      <c r="B52" t="s">
        <v>153</v>
      </c>
      <c r="C52" s="35">
        <f>C60/C65</f>
        <v>0.4214034567298045</v>
      </c>
      <c r="D52" s="35">
        <f>D60/D65</f>
        <v>0.42204484271164744</v>
      </c>
      <c r="E52" s="35">
        <f>E60/E65</f>
        <v>0.44936849954261376</v>
      </c>
      <c r="F52" s="35">
        <f>F60/F65</f>
        <v>0.45373112580369013</v>
      </c>
      <c r="G52" s="35">
        <f>G60/G65</f>
        <v>0.41907839165484384</v>
      </c>
      <c r="H52" s="35">
        <f t="shared" ref="H52:J52" si="23">H60/H65</f>
        <v>0.41547460567187061</v>
      </c>
      <c r="I52" s="35">
        <f t="shared" si="23"/>
        <v>0.42025946257118774</v>
      </c>
      <c r="J52" s="35">
        <f t="shared" si="23"/>
        <v>0.45169300497836279</v>
      </c>
      <c r="L52" s="51">
        <v>0.42666590259532283</v>
      </c>
      <c r="P52" s="35">
        <f>P60/P65</f>
        <v>0.4080101083585404</v>
      </c>
      <c r="Q52" s="35">
        <f t="shared" ref="Q52:Z52" si="24">Q60/Q65</f>
        <v>0.39997353297035693</v>
      </c>
      <c r="R52" s="35">
        <f t="shared" si="24"/>
        <v>0.44873150105708243</v>
      </c>
      <c r="S52" s="35">
        <f t="shared" si="24"/>
        <v>0.43931988056068011</v>
      </c>
      <c r="T52" s="35">
        <f t="shared" si="24"/>
        <v>0.39859331996874042</v>
      </c>
      <c r="U52" s="35">
        <f t="shared" si="24"/>
        <v>0.40631696026955855</v>
      </c>
      <c r="V52" s="35">
        <f t="shared" si="24"/>
        <v>0.4607528395757064</v>
      </c>
      <c r="W52" s="35">
        <f t="shared" si="24"/>
        <v>0.43747217806041333</v>
      </c>
      <c r="X52" s="35">
        <f t="shared" si="24"/>
        <v>0.43814494128810344</v>
      </c>
      <c r="Y52" s="35">
        <f t="shared" si="24"/>
        <v>0.4411962423511161</v>
      </c>
      <c r="Z52" s="35">
        <f t="shared" si="24"/>
        <v>0.46564701072311321</v>
      </c>
      <c r="AA52" s="35">
        <f>AA60/AA65</f>
        <v>0.45787008119925049</v>
      </c>
      <c r="AB52" s="35">
        <f t="shared" ref="AB52:AI52" si="25">AB60/AB65</f>
        <v>0.45052766856532961</v>
      </c>
      <c r="AC52" s="35">
        <f t="shared" si="25"/>
        <v>0.43683226724744051</v>
      </c>
      <c r="AD52" s="35">
        <f t="shared" si="25"/>
        <v>0.4526765518974617</v>
      </c>
      <c r="AE52" s="35">
        <f t="shared" si="25"/>
        <v>0.47448143682957744</v>
      </c>
      <c r="AF52" s="35">
        <f t="shared" si="25"/>
        <v>0.41556367160509339</v>
      </c>
      <c r="AG52" s="35">
        <f t="shared" si="25"/>
        <v>0.38294784782996966</v>
      </c>
      <c r="AH52" s="35">
        <f t="shared" si="25"/>
        <v>0.44047940663604884</v>
      </c>
      <c r="AI52" s="35">
        <f t="shared" si="25"/>
        <v>0.44169865642994244</v>
      </c>
    </row>
    <row r="53" spans="2:35" x14ac:dyDescent="0.2">
      <c r="B53" t="s">
        <v>154</v>
      </c>
      <c r="C53" s="35">
        <f>C61/C65</f>
        <v>0.23965903836254657</v>
      </c>
      <c r="D53" s="35">
        <f>D61/D65</f>
        <v>0.23501948455354957</v>
      </c>
      <c r="E53" s="35">
        <f>E61/E65</f>
        <v>0.23172184768654824</v>
      </c>
      <c r="F53" s="35">
        <f>F61/F65</f>
        <v>0.25004098136713843</v>
      </c>
      <c r="G53" s="35">
        <f>G61/G65</f>
        <v>0.2441302618522376</v>
      </c>
      <c r="H53" s="35">
        <f t="shared" ref="H53:J53" si="26">H61/H65</f>
        <v>0.24001774980838275</v>
      </c>
      <c r="I53" s="35">
        <f t="shared" si="26"/>
        <v>0.23938608935216596</v>
      </c>
      <c r="J53" s="35">
        <f t="shared" si="26"/>
        <v>0.23248833761255561</v>
      </c>
      <c r="L53" s="51">
        <v>0.2414488595068941</v>
      </c>
      <c r="P53" s="35">
        <f>P61/P65</f>
        <v>0.23638498551390538</v>
      </c>
      <c r="Q53" s="35">
        <f t="shared" ref="Q53:Z53" si="27">Q61/Q65</f>
        <v>0.24071763460375076</v>
      </c>
      <c r="R53" s="35">
        <f t="shared" si="27"/>
        <v>0.23509073291050034</v>
      </c>
      <c r="S53" s="35">
        <f t="shared" si="27"/>
        <v>0.24741817075258182</v>
      </c>
      <c r="T53" s="35">
        <f t="shared" si="27"/>
        <v>0.23845604974346776</v>
      </c>
      <c r="U53" s="35">
        <f t="shared" si="27"/>
        <v>0.22647496605983283</v>
      </c>
      <c r="V53" s="35">
        <f t="shared" si="27"/>
        <v>0.22787947057166996</v>
      </c>
      <c r="W53" s="35">
        <f t="shared" si="27"/>
        <v>0.24454689984101749</v>
      </c>
      <c r="X53" s="35">
        <f t="shared" si="27"/>
        <v>0.24152532321195588</v>
      </c>
      <c r="Y53" s="35">
        <f t="shared" si="27"/>
        <v>0.22501077307592865</v>
      </c>
      <c r="Z53" s="35">
        <f t="shared" si="27"/>
        <v>0.22161720158337825</v>
      </c>
      <c r="AA53" s="35">
        <f>AA61/AA65</f>
        <v>0.23338538413491569</v>
      </c>
      <c r="AB53" s="35">
        <f t="shared" ref="AB53:AI53" si="28">AB61/AB65</f>
        <v>0.25346605822324353</v>
      </c>
      <c r="AC53" s="35">
        <f t="shared" si="28"/>
        <v>0.24512544372609882</v>
      </c>
      <c r="AD53" s="35">
        <f t="shared" si="28"/>
        <v>0.23746334925023038</v>
      </c>
      <c r="AE53" s="35">
        <f t="shared" si="28"/>
        <v>0.26121363875235709</v>
      </c>
      <c r="AF53" s="35">
        <f t="shared" si="28"/>
        <v>0.24503091377345454</v>
      </c>
      <c r="AG53" s="35">
        <f t="shared" si="28"/>
        <v>0.24852652259332023</v>
      </c>
      <c r="AH53" s="35">
        <f t="shared" si="28"/>
        <v>0.23261782547830145</v>
      </c>
      <c r="AI53" s="35">
        <f t="shared" si="28"/>
        <v>0.24944817658349328</v>
      </c>
    </row>
    <row r="54" spans="2:35" x14ac:dyDescent="0.2">
      <c r="B54" t="s">
        <v>155</v>
      </c>
      <c r="C54" s="35">
        <f>C62/C65</f>
        <v>0.19527644241255659</v>
      </c>
      <c r="D54" s="35">
        <f>D62/D65</f>
        <v>0.19556844067094636</v>
      </c>
      <c r="E54" s="35">
        <f>E62/E65</f>
        <v>0.16787995725937258</v>
      </c>
      <c r="F54" s="35">
        <f>F62/F65</f>
        <v>0.14683350636577236</v>
      </c>
      <c r="G54" s="35">
        <f>G62/G65</f>
        <v>0.18688579262308749</v>
      </c>
      <c r="H54" s="35">
        <f t="shared" ref="H54:J54" si="29">H62/H65</f>
        <v>0.20801968615111541</v>
      </c>
      <c r="I54" s="35">
        <f t="shared" si="29"/>
        <v>0.18856267604185942</v>
      </c>
      <c r="J54" s="35">
        <f t="shared" si="29"/>
        <v>0.17603876613748962</v>
      </c>
      <c r="L54" s="51">
        <v>0.17577268658404874</v>
      </c>
      <c r="P54" s="35">
        <f>P62/P65</f>
        <v>0.20718306084159743</v>
      </c>
      <c r="Q54" s="35">
        <f t="shared" ref="Q54:Z54" si="30">Q62/Q65</f>
        <v>0.20277525710828795</v>
      </c>
      <c r="R54" s="35">
        <f t="shared" si="30"/>
        <v>0.17626849894291755</v>
      </c>
      <c r="S54" s="35">
        <f t="shared" si="30"/>
        <v>0.18640521881359479</v>
      </c>
      <c r="T54" s="35">
        <f t="shared" si="30"/>
        <v>0.20336833044522215</v>
      </c>
      <c r="U54" s="35">
        <f t="shared" si="30"/>
        <v>0.21302975285015621</v>
      </c>
      <c r="V54" s="35">
        <f t="shared" si="30"/>
        <v>0.17931099220876748</v>
      </c>
      <c r="W54" s="35">
        <f t="shared" si="30"/>
        <v>0.18141494435612082</v>
      </c>
      <c r="X54" s="35">
        <f t="shared" si="30"/>
        <v>0.15619736686039615</v>
      </c>
      <c r="Y54" s="35">
        <f t="shared" si="30"/>
        <v>0.17612686374213565</v>
      </c>
      <c r="Z54" s="35">
        <f t="shared" si="30"/>
        <v>0.17017599286364735</v>
      </c>
      <c r="AA54" s="35">
        <f>AA62/AA65</f>
        <v>0.17386008744534664</v>
      </c>
      <c r="AB54" s="35">
        <f t="shared" ref="AB54:AI54" si="31">AB62/AB65</f>
        <v>0.14787789019701805</v>
      </c>
      <c r="AC54" s="35">
        <f t="shared" si="31"/>
        <v>0.16214223243530601</v>
      </c>
      <c r="AD54" s="35">
        <f t="shared" si="31"/>
        <v>0.15630392896037532</v>
      </c>
      <c r="AE54" s="35">
        <f t="shared" si="31"/>
        <v>0.12281677949859346</v>
      </c>
      <c r="AF54" s="35">
        <f t="shared" si="31"/>
        <v>0.19125261353745099</v>
      </c>
      <c r="AG54" s="35">
        <f t="shared" si="31"/>
        <v>0.19789248080014288</v>
      </c>
      <c r="AH54" s="35">
        <f t="shared" si="31"/>
        <v>0.18127563425596188</v>
      </c>
      <c r="AI54" s="35">
        <f t="shared" si="31"/>
        <v>0.17470009596928981</v>
      </c>
    </row>
    <row r="55" spans="2:35" x14ac:dyDescent="0.2">
      <c r="B55" t="s">
        <v>156</v>
      </c>
      <c r="C55" s="35">
        <f>C63/C65</f>
        <v>7.7357634556828397E-2</v>
      </c>
      <c r="D55" s="35">
        <f>D63/D65</f>
        <v>8.1827594645983548E-2</v>
      </c>
      <c r="E55" s="35">
        <f>E63/E65</f>
        <v>8.2660065955860312E-2</v>
      </c>
      <c r="F55" s="35">
        <f>F63/F65</f>
        <v>7.8021237455148176E-2</v>
      </c>
      <c r="G55" s="35">
        <f>G63/G65</f>
        <v>7.7858601431863475E-2</v>
      </c>
      <c r="H55" s="35">
        <f t="shared" ref="H55:J55" si="32">H63/H65</f>
        <v>5.7339949171003268E-2</v>
      </c>
      <c r="I55" s="35">
        <f t="shared" si="32"/>
        <v>7.9401303480745908E-2</v>
      </c>
      <c r="J55" s="35">
        <f t="shared" si="32"/>
        <v>6.5646885811063302E-2</v>
      </c>
      <c r="L55" s="51">
        <v>7.9268249368713448E-2</v>
      </c>
      <c r="P55" s="35">
        <f>P63/P65</f>
        <v>7.3591913313167667E-2</v>
      </c>
      <c r="Q55" s="35">
        <f t="shared" ref="Q55:Z55" si="33">Q63/Q65</f>
        <v>8.4789019963702361E-2</v>
      </c>
      <c r="R55" s="35">
        <f t="shared" si="33"/>
        <v>7.980972515856237E-2</v>
      </c>
      <c r="S55" s="35">
        <f t="shared" si="33"/>
        <v>7.3375301926624698E-2</v>
      </c>
      <c r="T55" s="35">
        <f t="shared" si="33"/>
        <v>8.1965727747386544E-2</v>
      </c>
      <c r="U55" s="35">
        <f t="shared" si="33"/>
        <v>8.9438474246364724E-2</v>
      </c>
      <c r="V55" s="35">
        <f t="shared" si="33"/>
        <v>7.2599267811883972E-2</v>
      </c>
      <c r="W55" s="35">
        <f t="shared" si="33"/>
        <v>8.2050874403815574E-2</v>
      </c>
      <c r="X55" s="35">
        <f t="shared" si="33"/>
        <v>8.1959435416913765E-2</v>
      </c>
      <c r="Y55" s="35">
        <f t="shared" si="33"/>
        <v>9.53546496595708E-2</v>
      </c>
      <c r="Z55" s="35">
        <f t="shared" si="33"/>
        <v>7.5860915460238987E-2</v>
      </c>
      <c r="AA55" s="35">
        <f>AA63/AA65</f>
        <v>7.7795128044971892E-2</v>
      </c>
      <c r="AB55" s="35">
        <f t="shared" ref="AB55:AI55" si="34">AB63/AB65</f>
        <v>6.7774643592284828E-2</v>
      </c>
      <c r="AC55" s="35">
        <f t="shared" si="34"/>
        <v>8.9276833639154216E-2</v>
      </c>
      <c r="AD55" s="35">
        <f t="shared" si="34"/>
        <v>8.3203484962720953E-2</v>
      </c>
      <c r="AE55" s="35">
        <f t="shared" si="34"/>
        <v>7.7637639494265664E-2</v>
      </c>
      <c r="AF55" s="35">
        <f t="shared" si="34"/>
        <v>7.4345606116350646E-2</v>
      </c>
      <c r="AG55" s="35">
        <f t="shared" si="34"/>
        <v>8.6421682443293443E-2</v>
      </c>
      <c r="AH55" s="35">
        <f t="shared" si="34"/>
        <v>7.937716432939558E-2</v>
      </c>
      <c r="AI55" s="35">
        <f t="shared" si="34"/>
        <v>7.1869001919385792E-2</v>
      </c>
    </row>
    <row r="56" spans="2:35" x14ac:dyDescent="0.2">
      <c r="B56" t="s">
        <v>157</v>
      </c>
      <c r="C56" s="35">
        <f>C64/C65</f>
        <v>6.6303427938263951E-2</v>
      </c>
      <c r="D56" s="35">
        <f>D64/D65</f>
        <v>6.5539637417873081E-2</v>
      </c>
      <c r="E56" s="35">
        <f>E64/E65</f>
        <v>6.8369629555605091E-2</v>
      </c>
      <c r="F56" s="35">
        <f>F64/F65</f>
        <v>7.1373149008250911E-2</v>
      </c>
      <c r="G56" s="35">
        <f>G64/G65</f>
        <v>7.2046952437967618E-2</v>
      </c>
      <c r="H56" s="35">
        <f t="shared" ref="H56:J56" si="35">H64/H65</f>
        <v>7.9148009197627975E-2</v>
      </c>
      <c r="I56" s="35">
        <f t="shared" si="35"/>
        <v>7.2390468554040993E-2</v>
      </c>
      <c r="J56" s="35">
        <f t="shared" si="35"/>
        <v>7.41330054605287E-2</v>
      </c>
      <c r="L56" s="51">
        <v>7.684430194502101E-2</v>
      </c>
      <c r="M56" s="35"/>
      <c r="N56" s="35"/>
      <c r="O56" s="35"/>
      <c r="P56" s="35">
        <f>P64/P65</f>
        <v>7.4829931972789115E-2</v>
      </c>
      <c r="Q56" s="35">
        <f t="shared" ref="Q56:Z56" si="36">Q64/Q65</f>
        <v>7.1744555353901993E-2</v>
      </c>
      <c r="R56" s="35">
        <f t="shared" si="36"/>
        <v>6.0099541930937278E-2</v>
      </c>
      <c r="S56" s="35">
        <f t="shared" si="36"/>
        <v>5.348142794651857E-2</v>
      </c>
      <c r="T56" s="35">
        <f t="shared" si="36"/>
        <v>7.7616572095183078E-2</v>
      </c>
      <c r="U56" s="35">
        <f t="shared" si="36"/>
        <v>6.4739846574087712E-2</v>
      </c>
      <c r="V56" s="35">
        <f t="shared" si="36"/>
        <v>5.9457429831972212E-2</v>
      </c>
      <c r="W56" s="35">
        <f t="shared" si="36"/>
        <v>5.4515103338632749E-2</v>
      </c>
      <c r="X56" s="35">
        <f t="shared" si="36"/>
        <v>8.2172933222630765E-2</v>
      </c>
      <c r="Y56" s="35">
        <f t="shared" si="36"/>
        <v>6.2311471171248814E-2</v>
      </c>
      <c r="Z56" s="35">
        <f t="shared" si="36"/>
        <v>6.6698879369622183E-2</v>
      </c>
      <c r="AA56" s="35">
        <f>AA64/AA65</f>
        <v>5.7089319175515303E-2</v>
      </c>
      <c r="AB56" s="35">
        <f t="shared" ref="AB56:AI56" si="37">AB64/AB65</f>
        <v>8.0353739422123968E-2</v>
      </c>
      <c r="AC56" s="35">
        <f t="shared" si="37"/>
        <v>6.6623222952000405E-2</v>
      </c>
      <c r="AD56" s="35">
        <f t="shared" si="37"/>
        <v>7.0352684929211692E-2</v>
      </c>
      <c r="AE56" s="35">
        <f t="shared" si="37"/>
        <v>6.3850505425206344E-2</v>
      </c>
      <c r="AF56" s="35">
        <f t="shared" si="37"/>
        <v>7.3807194967650466E-2</v>
      </c>
      <c r="AG56" s="35">
        <f t="shared" si="37"/>
        <v>8.4211466333273796E-2</v>
      </c>
      <c r="AH56" s="35">
        <f t="shared" si="37"/>
        <v>6.6249969300292255E-2</v>
      </c>
      <c r="AI56" s="35">
        <f t="shared" si="37"/>
        <v>6.2284069097888674E-2</v>
      </c>
    </row>
    <row r="57" spans="2:35" s="10" customFormat="1" x14ac:dyDescent="0.2">
      <c r="B57" s="10" t="s">
        <v>66</v>
      </c>
      <c r="C57" s="35">
        <f>SUM(C52:C56)</f>
        <v>1</v>
      </c>
      <c r="D57" s="35">
        <f>SUM(D52:D56)</f>
        <v>1</v>
      </c>
      <c r="E57" s="35">
        <f t="shared" ref="E57" si="38">SUM(E52:E56)</f>
        <v>1</v>
      </c>
      <c r="F57" s="35">
        <f t="shared" ref="F57" si="39">SUM(F52:F56)</f>
        <v>1</v>
      </c>
      <c r="G57" s="35">
        <f>SUM(G52:G56)</f>
        <v>1</v>
      </c>
      <c r="H57" s="35">
        <f t="shared" ref="H57" si="40">SUM(H52:H56)</f>
        <v>1</v>
      </c>
      <c r="I57" s="35">
        <f t="shared" ref="I57" si="41">SUM(I52:I56)</f>
        <v>1</v>
      </c>
      <c r="J57" s="35">
        <f t="shared" ref="J57" si="42">SUM(J52:J56)</f>
        <v>1</v>
      </c>
      <c r="L57" s="51">
        <v>1.0000000000000002</v>
      </c>
      <c r="M57" s="35"/>
      <c r="N57" s="35"/>
      <c r="O57" s="35"/>
      <c r="P57" s="35">
        <f>SUM(P52:P56)</f>
        <v>0.99999999999999989</v>
      </c>
      <c r="Q57" s="35">
        <f t="shared" ref="Q57:Z57" si="43">SUM(Q52:Q56)</f>
        <v>1</v>
      </c>
      <c r="R57" s="35">
        <f t="shared" si="43"/>
        <v>0.99999999999999989</v>
      </c>
      <c r="S57" s="35">
        <f t="shared" si="43"/>
        <v>0.99999999999999989</v>
      </c>
      <c r="T57" s="35">
        <f t="shared" si="43"/>
        <v>1</v>
      </c>
      <c r="U57" s="35">
        <f t="shared" si="43"/>
        <v>1</v>
      </c>
      <c r="V57" s="35">
        <f t="shared" si="43"/>
        <v>1</v>
      </c>
      <c r="W57" s="35">
        <f t="shared" si="43"/>
        <v>0.99999999999999989</v>
      </c>
      <c r="X57" s="35">
        <f t="shared" si="43"/>
        <v>0.99999999999999989</v>
      </c>
      <c r="Y57" s="35">
        <f t="shared" si="43"/>
        <v>0.99999999999999989</v>
      </c>
      <c r="Z57" s="35">
        <f t="shared" si="43"/>
        <v>1</v>
      </c>
      <c r="AA57" s="35">
        <f>SUM(AA52:AA56)</f>
        <v>1</v>
      </c>
      <c r="AB57" s="35">
        <f t="shared" ref="AB57" si="44">SUM(AB52:AB56)</f>
        <v>1</v>
      </c>
      <c r="AC57" s="35">
        <f t="shared" ref="AC57" si="45">SUM(AC52:AC56)</f>
        <v>0.99999999999999989</v>
      </c>
      <c r="AD57" s="35">
        <f t="shared" ref="AD57" si="46">SUM(AD52:AD56)</f>
        <v>1.0000000000000002</v>
      </c>
      <c r="AE57" s="35">
        <f t="shared" ref="AE57" si="47">SUM(AE52:AE56)</f>
        <v>1</v>
      </c>
      <c r="AF57" s="35">
        <f t="shared" ref="AF57" si="48">SUM(AF52:AF56)</f>
        <v>1.0000000000000002</v>
      </c>
      <c r="AG57" s="35">
        <f t="shared" ref="AG57" si="49">SUM(AG52:AG56)</f>
        <v>1</v>
      </c>
      <c r="AH57" s="35">
        <f t="shared" ref="AH57" si="50">SUM(AH52:AH56)</f>
        <v>0.99999999999999989</v>
      </c>
      <c r="AI57" s="35">
        <f t="shared" ref="AI57" si="51">SUM(AI52:AI56)</f>
        <v>1</v>
      </c>
    </row>
    <row r="58" spans="2:35" s="9" customFormat="1" x14ac:dyDescent="0.2">
      <c r="M58" s="35"/>
      <c r="N58" s="35"/>
      <c r="O58" s="35"/>
    </row>
    <row r="59" spans="2:35" s="60" customFormat="1" x14ac:dyDescent="0.2">
      <c r="B59" s="59" t="s">
        <v>170</v>
      </c>
      <c r="C59" s="59"/>
      <c r="D59" s="59"/>
      <c r="E59" s="59"/>
      <c r="F59" s="59"/>
      <c r="G59" s="59"/>
      <c r="H59" s="59"/>
      <c r="I59" s="59"/>
      <c r="J59" s="59"/>
      <c r="K59" s="45"/>
      <c r="M59" s="61"/>
      <c r="N59" s="61"/>
      <c r="O59" s="61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59"/>
      <c r="AA59" s="59"/>
      <c r="AB59" s="59"/>
      <c r="AC59" s="59"/>
      <c r="AD59" s="59"/>
      <c r="AE59" s="59"/>
      <c r="AF59" s="59"/>
      <c r="AG59" s="59"/>
      <c r="AH59" s="59"/>
      <c r="AI59" s="59"/>
    </row>
    <row r="60" spans="2:35" s="45" customFormat="1" x14ac:dyDescent="0.2">
      <c r="B60" s="45" t="s">
        <v>153</v>
      </c>
      <c r="C60" s="45">
        <v>96600</v>
      </c>
      <c r="D60" s="45">
        <v>112093</v>
      </c>
      <c r="E60" s="45">
        <v>116914</v>
      </c>
      <c r="F60" s="45">
        <v>124556</v>
      </c>
      <c r="G60" s="45">
        <v>153306</v>
      </c>
      <c r="H60" s="45">
        <v>51496</v>
      </c>
      <c r="I60" s="45">
        <v>40882</v>
      </c>
      <c r="J60" s="45">
        <v>37472</v>
      </c>
      <c r="L60" s="62">
        <f>L41*(L52)</f>
        <v>161602.04809712587</v>
      </c>
      <c r="M60" s="61"/>
      <c r="N60" s="61"/>
      <c r="O60" s="61"/>
      <c r="P60" s="45">
        <v>31968</v>
      </c>
      <c r="Q60" s="45">
        <v>21157</v>
      </c>
      <c r="R60" s="45">
        <v>20376</v>
      </c>
      <c r="S60" s="45">
        <v>23099</v>
      </c>
      <c r="T60" s="45">
        <v>35193</v>
      </c>
      <c r="U60" s="45">
        <v>24841</v>
      </c>
      <c r="V60" s="45">
        <v>24542</v>
      </c>
      <c r="W60" s="45">
        <v>27517</v>
      </c>
      <c r="X60" s="45">
        <v>36940</v>
      </c>
      <c r="Y60" s="45">
        <v>25596</v>
      </c>
      <c r="Z60" s="45">
        <v>25056</v>
      </c>
      <c r="AA60" s="45">
        <v>29322</v>
      </c>
      <c r="AB60" s="45">
        <v>41367</v>
      </c>
      <c r="AC60" s="45">
        <v>25473</v>
      </c>
      <c r="AD60" s="45">
        <v>27018</v>
      </c>
      <c r="AE60" s="45">
        <v>30698</v>
      </c>
      <c r="AF60" s="45">
        <v>46310</v>
      </c>
      <c r="AG60" s="45">
        <v>34306</v>
      </c>
      <c r="AH60" s="45">
        <v>35870</v>
      </c>
      <c r="AI60" s="45">
        <v>36820</v>
      </c>
    </row>
    <row r="61" spans="2:35" s="45" customFormat="1" x14ac:dyDescent="0.2">
      <c r="B61" s="45" t="s">
        <v>154</v>
      </c>
      <c r="C61" s="45">
        <v>54938</v>
      </c>
      <c r="D61" s="45">
        <v>62420</v>
      </c>
      <c r="E61" s="45">
        <v>60288</v>
      </c>
      <c r="F61" s="45">
        <v>68640</v>
      </c>
      <c r="G61" s="45">
        <v>89307</v>
      </c>
      <c r="H61" s="45">
        <v>29749</v>
      </c>
      <c r="I61" s="45">
        <v>23287</v>
      </c>
      <c r="J61" s="45">
        <v>19287</v>
      </c>
      <c r="L61" s="62">
        <f>L53*L41</f>
        <v>91450.078315812934</v>
      </c>
      <c r="M61" s="61"/>
      <c r="N61" s="61"/>
      <c r="O61" s="61"/>
      <c r="P61" s="45">
        <v>18521</v>
      </c>
      <c r="Q61" s="45">
        <v>12733</v>
      </c>
      <c r="R61" s="45">
        <v>10675</v>
      </c>
      <c r="S61" s="45">
        <v>13009</v>
      </c>
      <c r="T61" s="45">
        <v>21054</v>
      </c>
      <c r="U61" s="45">
        <v>13846</v>
      </c>
      <c r="V61" s="45">
        <v>12138</v>
      </c>
      <c r="W61" s="45">
        <v>15382</v>
      </c>
      <c r="X61" s="45">
        <v>20363</v>
      </c>
      <c r="Y61" s="45">
        <v>13054</v>
      </c>
      <c r="Z61" s="45">
        <v>11925</v>
      </c>
      <c r="AA61" s="45">
        <v>14946</v>
      </c>
      <c r="AB61" s="45">
        <v>23273</v>
      </c>
      <c r="AC61" s="45">
        <v>14294</v>
      </c>
      <c r="AD61" s="45">
        <v>14173</v>
      </c>
      <c r="AE61" s="45">
        <v>16900</v>
      </c>
      <c r="AF61" s="45">
        <v>27306</v>
      </c>
      <c r="AG61" s="45">
        <v>22264</v>
      </c>
      <c r="AH61" s="45">
        <v>18943</v>
      </c>
      <c r="AI61" s="45">
        <v>20794</v>
      </c>
    </row>
    <row r="62" spans="2:35" s="45" customFormat="1" x14ac:dyDescent="0.2">
      <c r="B62" s="45" t="s">
        <v>155</v>
      </c>
      <c r="C62" s="45">
        <v>44764</v>
      </c>
      <c r="D62" s="45">
        <v>51942</v>
      </c>
      <c r="E62" s="45">
        <v>43678</v>
      </c>
      <c r="F62" s="45">
        <v>40308</v>
      </c>
      <c r="G62" s="45">
        <v>68366</v>
      </c>
      <c r="H62" s="45">
        <v>25783</v>
      </c>
      <c r="I62" s="45">
        <v>18343</v>
      </c>
      <c r="J62" s="45">
        <v>14604</v>
      </c>
      <c r="L62" s="62">
        <f>L41*L54</f>
        <v>66574.86801437191</v>
      </c>
      <c r="P62" s="45">
        <v>16233</v>
      </c>
      <c r="Q62" s="45">
        <v>10726</v>
      </c>
      <c r="R62" s="45">
        <v>8004</v>
      </c>
      <c r="S62" s="45">
        <v>9801</v>
      </c>
      <c r="T62" s="45">
        <v>17956</v>
      </c>
      <c r="U62" s="45">
        <v>13024</v>
      </c>
      <c r="V62" s="45">
        <v>9551</v>
      </c>
      <c r="W62" s="45">
        <v>11411</v>
      </c>
      <c r="X62" s="45">
        <v>13169</v>
      </c>
      <c r="Y62" s="45">
        <v>10218</v>
      </c>
      <c r="Z62" s="45">
        <v>9157</v>
      </c>
      <c r="AA62" s="45">
        <v>11134</v>
      </c>
      <c r="AB62" s="45">
        <v>13578</v>
      </c>
      <c r="AC62" s="45">
        <v>9455</v>
      </c>
      <c r="AD62" s="45">
        <v>9329</v>
      </c>
      <c r="AE62" s="45">
        <v>7946</v>
      </c>
      <c r="AF62" s="45">
        <v>21313</v>
      </c>
      <c r="AG62" s="45">
        <v>17728</v>
      </c>
      <c r="AH62" s="45">
        <v>14762</v>
      </c>
      <c r="AI62" s="45">
        <v>14563</v>
      </c>
    </row>
    <row r="63" spans="2:35" s="45" customFormat="1" x14ac:dyDescent="0.2">
      <c r="B63" s="45" t="s">
        <v>156</v>
      </c>
      <c r="C63" s="45">
        <v>17733</v>
      </c>
      <c r="D63" s="45">
        <v>21733</v>
      </c>
      <c r="E63" s="45">
        <v>21506</v>
      </c>
      <c r="F63" s="45">
        <v>21418</v>
      </c>
      <c r="G63" s="45">
        <v>28482</v>
      </c>
      <c r="H63" s="45">
        <v>7107</v>
      </c>
      <c r="I63" s="45">
        <v>7724</v>
      </c>
      <c r="J63" s="45">
        <v>5446</v>
      </c>
      <c r="L63" s="62">
        <f>L41*L55</f>
        <v>30023.283719504383</v>
      </c>
      <c r="P63" s="45">
        <v>5766</v>
      </c>
      <c r="Q63" s="45">
        <v>4485</v>
      </c>
      <c r="R63" s="45">
        <v>3624</v>
      </c>
      <c r="S63" s="45">
        <v>3858</v>
      </c>
      <c r="T63" s="45">
        <v>7237</v>
      </c>
      <c r="U63" s="45">
        <v>5468</v>
      </c>
      <c r="V63" s="45">
        <v>3867</v>
      </c>
      <c r="W63" s="45">
        <v>5161</v>
      </c>
      <c r="X63" s="45">
        <v>6910</v>
      </c>
      <c r="Y63" s="45">
        <v>5532</v>
      </c>
      <c r="Z63" s="45">
        <v>4082</v>
      </c>
      <c r="AA63" s="45">
        <v>4982</v>
      </c>
      <c r="AB63" s="45">
        <v>6223</v>
      </c>
      <c r="AC63" s="45">
        <v>5206</v>
      </c>
      <c r="AD63" s="45">
        <v>4966</v>
      </c>
      <c r="AE63" s="45">
        <v>5023</v>
      </c>
      <c r="AF63" s="45">
        <v>8285</v>
      </c>
      <c r="AG63" s="45">
        <v>7742</v>
      </c>
      <c r="AH63" s="45">
        <v>6464</v>
      </c>
      <c r="AI63" s="45">
        <v>5991</v>
      </c>
    </row>
    <row r="64" spans="2:35" s="45" customFormat="1" x14ac:dyDescent="0.2">
      <c r="B64" s="45" t="s">
        <v>157</v>
      </c>
      <c r="C64" s="45">
        <v>15199</v>
      </c>
      <c r="D64" s="45">
        <v>17407</v>
      </c>
      <c r="E64" s="45">
        <v>17788</v>
      </c>
      <c r="F64" s="45">
        <v>19593</v>
      </c>
      <c r="G64" s="45">
        <v>26356</v>
      </c>
      <c r="H64" s="45">
        <v>9810</v>
      </c>
      <c r="I64" s="45">
        <v>7042</v>
      </c>
      <c r="J64" s="45">
        <v>6150</v>
      </c>
      <c r="L64" s="62">
        <f>L41*L56</f>
        <v>29105.200353184911</v>
      </c>
      <c r="P64" s="45">
        <v>5863</v>
      </c>
      <c r="Q64" s="45">
        <v>3795</v>
      </c>
      <c r="R64" s="45">
        <v>2729</v>
      </c>
      <c r="S64" s="45">
        <v>2812</v>
      </c>
      <c r="T64" s="45">
        <v>6853</v>
      </c>
      <c r="U64" s="45">
        <v>3958</v>
      </c>
      <c r="V64" s="45">
        <v>3167</v>
      </c>
      <c r="W64" s="45">
        <v>3429</v>
      </c>
      <c r="X64" s="45">
        <v>6928</v>
      </c>
      <c r="Y64" s="45">
        <v>3615</v>
      </c>
      <c r="Z64" s="45">
        <v>3589</v>
      </c>
      <c r="AA64" s="45">
        <v>3656</v>
      </c>
      <c r="AB64" s="45">
        <v>7378</v>
      </c>
      <c r="AC64" s="45">
        <v>3885</v>
      </c>
      <c r="AD64" s="45">
        <v>4199</v>
      </c>
      <c r="AE64" s="45">
        <v>4131</v>
      </c>
      <c r="AF64" s="45">
        <v>8225</v>
      </c>
      <c r="AG64" s="45">
        <v>7544</v>
      </c>
      <c r="AH64" s="45">
        <v>5395</v>
      </c>
      <c r="AI64" s="45">
        <v>5192</v>
      </c>
    </row>
    <row r="65" spans="1:35" s="48" customFormat="1" x14ac:dyDescent="0.2">
      <c r="B65" s="48" t="s">
        <v>66</v>
      </c>
      <c r="C65" s="48">
        <f>SUM(C60:C64)</f>
        <v>229234</v>
      </c>
      <c r="D65" s="48">
        <f>SUM(D60:D64)</f>
        <v>265595</v>
      </c>
      <c r="E65" s="48">
        <f>SUM(E60:E64)</f>
        <v>260174</v>
      </c>
      <c r="F65" s="48">
        <f>SUM(F60:F64)</f>
        <v>274515</v>
      </c>
      <c r="G65" s="48">
        <f>SUM(G60:G64)</f>
        <v>365817</v>
      </c>
      <c r="H65" s="48">
        <f>SUM(H60:H64)</f>
        <v>123945</v>
      </c>
      <c r="I65" s="48">
        <f>SUM(I60:I64)</f>
        <v>97278</v>
      </c>
      <c r="J65" s="48">
        <f>SUM(J60:J64)</f>
        <v>82959</v>
      </c>
      <c r="L65" s="99">
        <f>SUM(L60:L64)</f>
        <v>378755.47849999997</v>
      </c>
      <c r="P65" s="48">
        <f>SUM(P60:P64)</f>
        <v>78351</v>
      </c>
      <c r="Q65" s="48">
        <f t="shared" ref="Q65:AI65" si="52">SUM(Q60:Q64)</f>
        <v>52896</v>
      </c>
      <c r="R65" s="48">
        <f t="shared" si="52"/>
        <v>45408</v>
      </c>
      <c r="S65" s="48">
        <f t="shared" si="52"/>
        <v>52579</v>
      </c>
      <c r="T65" s="48">
        <f t="shared" si="52"/>
        <v>88293</v>
      </c>
      <c r="U65" s="48">
        <f t="shared" si="52"/>
        <v>61137</v>
      </c>
      <c r="V65" s="48">
        <f t="shared" si="52"/>
        <v>53265</v>
      </c>
      <c r="W65" s="48">
        <f t="shared" si="52"/>
        <v>62900</v>
      </c>
      <c r="X65" s="48">
        <f t="shared" si="52"/>
        <v>84310</v>
      </c>
      <c r="Y65" s="48">
        <f t="shared" si="52"/>
        <v>58015</v>
      </c>
      <c r="Z65" s="48">
        <f t="shared" si="52"/>
        <v>53809</v>
      </c>
      <c r="AA65" s="48">
        <f t="shared" si="52"/>
        <v>64040</v>
      </c>
      <c r="AB65" s="48">
        <f t="shared" si="52"/>
        <v>91819</v>
      </c>
      <c r="AC65" s="48">
        <f t="shared" si="52"/>
        <v>58313</v>
      </c>
      <c r="AD65" s="48">
        <f t="shared" si="52"/>
        <v>59685</v>
      </c>
      <c r="AE65" s="48">
        <f t="shared" si="52"/>
        <v>64698</v>
      </c>
      <c r="AF65" s="48">
        <f t="shared" si="52"/>
        <v>111439</v>
      </c>
      <c r="AG65" s="48">
        <f t="shared" si="52"/>
        <v>89584</v>
      </c>
      <c r="AH65" s="48">
        <f t="shared" si="52"/>
        <v>81434</v>
      </c>
      <c r="AI65" s="48">
        <f t="shared" si="52"/>
        <v>83360</v>
      </c>
    </row>
    <row r="67" spans="1:35" s="76" customFormat="1" x14ac:dyDescent="0.2">
      <c r="B67" s="75" t="s">
        <v>180</v>
      </c>
      <c r="D67" s="76">
        <f>D77/C77-1</f>
        <v>0.16099483863649255</v>
      </c>
      <c r="E67" s="76">
        <f>E77/D77-1</f>
        <v>-1.2054520139720082E-2</v>
      </c>
      <c r="F67" s="76">
        <f>F77/E77-1</f>
        <v>4.8070860787973846E-2</v>
      </c>
      <c r="G67" s="76">
        <f>G77/F77-1</f>
        <v>0.25608785142634716</v>
      </c>
      <c r="H67" s="76">
        <f>H77/AF77-1</f>
        <v>3.8607679814039342E-2</v>
      </c>
      <c r="I67" s="76">
        <f>I77/AG77-1</f>
        <v>6.2401708571983239E-2</v>
      </c>
      <c r="J67" s="76">
        <f>J77/AH77-1</f>
        <v>1.9381103965005808E-2</v>
      </c>
      <c r="T67" s="76">
        <f>T77/P77-1</f>
        <v>0.12882200311364822</v>
      </c>
      <c r="U67" s="76">
        <f>U77/Q77-1</f>
        <v>0.16746633648042097</v>
      </c>
      <c r="V67" s="76">
        <f>V77/R77-1</f>
        <v>0.17636103151862459</v>
      </c>
      <c r="W67" s="76">
        <f>W77/S77-1</f>
        <v>0.18892428326390598</v>
      </c>
      <c r="X67" s="76">
        <f>X77/T77-1</f>
        <v>-3.865320608300693E-2</v>
      </c>
      <c r="Y67" s="76">
        <f>Y77/U77-1</f>
        <v>-4.03287816518626E-2</v>
      </c>
      <c r="Z67" s="76">
        <f>Z77/V77-1</f>
        <v>2.2469857508220725E-2</v>
      </c>
      <c r="AA67" s="76">
        <f>AA77/W77-1</f>
        <v>2.3469703215168947E-2</v>
      </c>
      <c r="AB67" s="76">
        <f>AB77/X77-1</f>
        <v>8.2690946651619246E-2</v>
      </c>
      <c r="AC67" s="76">
        <f>AC77/Y77-1</f>
        <v>-6.9348510802895724E-3</v>
      </c>
      <c r="AD67" s="76">
        <f>AD77/Z77-1</f>
        <v>0.10192960514561378</v>
      </c>
      <c r="AE67" s="76">
        <f>AE77/AA77-1</f>
        <v>7.0984469000932027E-3</v>
      </c>
      <c r="AF67" s="76">
        <f>AF77/AB77-1</f>
        <v>0.18566481749761499</v>
      </c>
      <c r="AG67" s="76">
        <f>AG77/AC77-1</f>
        <v>0.43296330300753971</v>
      </c>
      <c r="AH67" s="76">
        <f>AH77/AD77-1</f>
        <v>0.2479124442642886</v>
      </c>
      <c r="AI67" s="76">
        <f>AI77/AE77-1</f>
        <v>0.20437901472168751</v>
      </c>
    </row>
    <row r="68" spans="1:35" s="78" customFormat="1" x14ac:dyDescent="0.2">
      <c r="B68" s="77" t="s">
        <v>181</v>
      </c>
      <c r="C68" s="76">
        <f>C77/C76</f>
        <v>0.6153013950810089</v>
      </c>
      <c r="D68" s="76">
        <f>D77/D76</f>
        <v>0.6165628117999209</v>
      </c>
      <c r="E68" s="76">
        <f>E77/E76</f>
        <v>0.62182231890965278</v>
      </c>
      <c r="F68" s="76">
        <f>F77/F76</f>
        <v>0.61766752272189129</v>
      </c>
      <c r="G68" s="76">
        <f>G77/G76</f>
        <v>0.58220640374832222</v>
      </c>
      <c r="H68" s="76">
        <f>H77/H76</f>
        <v>0.56236233813384973</v>
      </c>
      <c r="I68" s="76">
        <f>I77/I76</f>
        <v>0.56250128497707597</v>
      </c>
      <c r="J68" s="76">
        <f>J77/J76</f>
        <v>0.56743692667462242</v>
      </c>
      <c r="L68" s="51">
        <v>0.57999999999999996</v>
      </c>
      <c r="P68" s="76">
        <f>P77/P76</f>
        <v>0.61486132914704339</v>
      </c>
      <c r="Q68" s="76">
        <f>Q77/Q76</f>
        <v>0.61072670901391413</v>
      </c>
      <c r="R68" s="76">
        <f>R77/R76</f>
        <v>0.61486962649753352</v>
      </c>
      <c r="S68" s="76">
        <f>S77/S76</f>
        <v>0.62093231137906768</v>
      </c>
      <c r="T68" s="76">
        <f>T77/T76</f>
        <v>0.61591519146478202</v>
      </c>
      <c r="U68" s="76">
        <f>U77/U76</f>
        <v>0.61689320705955475</v>
      </c>
      <c r="V68" s="76">
        <f>V77/V76</f>
        <v>0.61661503801745987</v>
      </c>
      <c r="W68" s="76">
        <f>W77/W76</f>
        <v>0.6171065182829889</v>
      </c>
      <c r="X68" s="76">
        <f>X77/X76</f>
        <v>0.62008065472660423</v>
      </c>
      <c r="Y68" s="76">
        <f>Y77/Y76</f>
        <v>0.62387313625786434</v>
      </c>
      <c r="Z68" s="76">
        <f>Z77/Z76</f>
        <v>0.62409634076083931</v>
      </c>
      <c r="AA68" s="76">
        <f>AA77/AA76</f>
        <v>0.62034665833853841</v>
      </c>
      <c r="AB68" s="76">
        <f>AB77/AB76</f>
        <v>0.61645193260654108</v>
      </c>
      <c r="AC68" s="76">
        <f>AC77/AC76</f>
        <v>0.61638056694047638</v>
      </c>
      <c r="AD68" s="76">
        <f>AD77/AD76</f>
        <v>0.62000502638853983</v>
      </c>
      <c r="AE68" s="76">
        <f>AE77/AE76</f>
        <v>0.61839624099663049</v>
      </c>
      <c r="AF68" s="76">
        <f>AF77/AF76</f>
        <v>0.60222184334030282</v>
      </c>
      <c r="AG68" s="76">
        <f>AG77/AG76</f>
        <v>0.57493525629576714</v>
      </c>
      <c r="AH68" s="76">
        <f>AH77/AH76</f>
        <v>0.56707272146769161</v>
      </c>
      <c r="AI68" s="76">
        <f>AI77/AI76</f>
        <v>0.57804702495201532</v>
      </c>
    </row>
    <row r="69" spans="1:35" s="78" customFormat="1" x14ac:dyDescent="0.2">
      <c r="B69" s="77"/>
      <c r="C69" s="76"/>
      <c r="D69" s="76"/>
      <c r="E69" s="76"/>
      <c r="F69" s="76"/>
      <c r="G69" s="76"/>
      <c r="H69" s="76"/>
      <c r="I69" s="76"/>
      <c r="J69" s="76"/>
      <c r="L69" s="51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76"/>
      <c r="AA69" s="76"/>
      <c r="AB69" s="76"/>
      <c r="AC69" s="76"/>
      <c r="AD69" s="76"/>
      <c r="AE69" s="76"/>
      <c r="AF69" s="76"/>
      <c r="AG69" s="76"/>
      <c r="AH69" s="76"/>
      <c r="AI69" s="76"/>
    </row>
    <row r="70" spans="1:35" s="76" customFormat="1" x14ac:dyDescent="0.2">
      <c r="B70" s="75" t="s">
        <v>182</v>
      </c>
      <c r="D70" s="76">
        <f>D80/C80-1</f>
        <v>0.15270844199389022</v>
      </c>
      <c r="E70" s="76">
        <f>E80/D80-1</f>
        <v>0.11379722698038197</v>
      </c>
      <c r="F70" s="76">
        <f>F80/E80-1</f>
        <v>0.12204747257849236</v>
      </c>
      <c r="G70" s="76">
        <f>G80/F80-1</f>
        <v>0.13496948381090301</v>
      </c>
      <c r="H70" s="76">
        <f>H80/AF80-1</f>
        <v>0.1816750046322031</v>
      </c>
      <c r="I70" s="76">
        <f>I80/AG80-1</f>
        <v>0.18948562783661127</v>
      </c>
      <c r="J70" s="76">
        <f>J80/AH80-1</f>
        <v>0.15095695929553421</v>
      </c>
      <c r="L70" s="51"/>
      <c r="T70" s="76">
        <f>T80/P80-1</f>
        <v>0.12043420859615672</v>
      </c>
      <c r="U70" s="76">
        <f>U80/Q80-1</f>
        <v>0.15922389898367717</v>
      </c>
      <c r="V70" s="76">
        <f>V80/R80-1</f>
        <v>0.16205357142857135</v>
      </c>
      <c r="W70" s="76">
        <f>W80/S80-1</f>
        <v>0.16957862281603298</v>
      </c>
      <c r="X70" s="76">
        <f>X80/T80-1</f>
        <v>0.13707776904948932</v>
      </c>
      <c r="Y70" s="76">
        <f>Y80/U80-1</f>
        <v>0.11663124335812958</v>
      </c>
      <c r="Z70" s="76">
        <f>Z80/V80-1</f>
        <v>0.1119221411192215</v>
      </c>
      <c r="AA70" s="76">
        <f>AA80/W80-1</f>
        <v>9.0635199598292804E-2</v>
      </c>
      <c r="AB70" s="76">
        <f>AB80/X80-1</f>
        <v>0.11088082901554408</v>
      </c>
      <c r="AC70" s="76">
        <f>AC80/Y80-1</f>
        <v>0.13216749940518668</v>
      </c>
      <c r="AD70" s="76">
        <f>AD80/Z80-1</f>
        <v>0.10434181734423587</v>
      </c>
      <c r="AE70" s="76">
        <f>AE80/AA80-1</f>
        <v>0.1411141804788214</v>
      </c>
      <c r="AF70" s="76">
        <f>AF80/AB80-1</f>
        <v>0.11878109452736307</v>
      </c>
      <c r="AG70" s="76">
        <f>AG80/AC80-1</f>
        <v>0.11127456131133751</v>
      </c>
      <c r="AH70" s="76">
        <f>AH80/AD80-1</f>
        <v>0.16060068828866414</v>
      </c>
      <c r="AI70" s="76">
        <f>AI80/AE80-1</f>
        <v>0.14867863627193878</v>
      </c>
    </row>
    <row r="71" spans="1:35" s="78" customFormat="1" x14ac:dyDescent="0.2">
      <c r="B71" s="77" t="s">
        <v>184</v>
      </c>
      <c r="C71" s="76">
        <f>C80/C76</f>
        <v>0.11709432283169163</v>
      </c>
      <c r="D71" s="76">
        <f>D80/D76</f>
        <v>0.11649692200530884</v>
      </c>
      <c r="E71" s="76">
        <f>E80/E76</f>
        <v>0.13245750920537794</v>
      </c>
      <c r="F71" s="76">
        <f>F80/F76</f>
        <v>0.14085933373404003</v>
      </c>
      <c r="G71" s="76">
        <f>G80/G76</f>
        <v>0.11996982097606181</v>
      </c>
      <c r="H71" s="76">
        <f>H80/H76</f>
        <v>0.10290854814635524</v>
      </c>
      <c r="I71" s="76">
        <f>I80/I76</f>
        <v>0.12932009292954214</v>
      </c>
      <c r="J71" s="76">
        <f>J80/J76</f>
        <v>0.1544015718607987</v>
      </c>
      <c r="L71" s="51">
        <v>0.12</v>
      </c>
      <c r="P71" s="76">
        <f>P80/P76</f>
        <v>8.7005909305560875E-2</v>
      </c>
      <c r="Q71" s="76">
        <f>Q80/Q76</f>
        <v>0.12276920750151241</v>
      </c>
      <c r="R71" s="76">
        <f>R80/R76</f>
        <v>0.14799154334038056</v>
      </c>
      <c r="S71" s="76">
        <f>S80/S76</f>
        <v>0.12953840887046159</v>
      </c>
      <c r="T71" s="76">
        <f>T80/T76</f>
        <v>8.6507424144609421E-2</v>
      </c>
      <c r="U71" s="76">
        <f>U80/U76</f>
        <v>0.12313329080589495</v>
      </c>
      <c r="V71" s="76">
        <f>V80/V76</f>
        <v>0.14660658969304421</v>
      </c>
      <c r="W71" s="76">
        <f>W80/W76</f>
        <v>0.12664546899841017</v>
      </c>
      <c r="X71" s="76">
        <f>X80/X76</f>
        <v>0.10301269125845096</v>
      </c>
      <c r="Y71" s="76">
        <f>Y80/Y76</f>
        <v>0.14489356200982503</v>
      </c>
      <c r="Z71" s="76">
        <f>Z80/Z76</f>
        <v>0.16136705755542752</v>
      </c>
      <c r="AA71" s="76">
        <f>AA80/AA76</f>
        <v>0.13566520924422237</v>
      </c>
      <c r="AB71" s="76">
        <f>AB80/AB76</f>
        <v>0.10507629139938357</v>
      </c>
      <c r="AC71" s="76">
        <f>AC80/AC76</f>
        <v>0.16320546018898016</v>
      </c>
      <c r="AD71" s="76">
        <f>AD80/AD76</f>
        <v>0.16066013236156487</v>
      </c>
      <c r="AE71" s="76">
        <f>AE80/AE76</f>
        <v>0.15323503044916381</v>
      </c>
      <c r="AF71" s="76">
        <f>AF80/AF76</f>
        <v>9.6860165651163413E-2</v>
      </c>
      <c r="AG71" s="76">
        <f>AG80/AG76</f>
        <v>0.11805679585640293</v>
      </c>
      <c r="AH71" s="76">
        <f>AH80/AH76</f>
        <v>0.13666281896996341</v>
      </c>
      <c r="AI71" s="76">
        <f>AI80/AI76</f>
        <v>0.13661228406909789</v>
      </c>
    </row>
    <row r="72" spans="1:35" s="78" customFormat="1" x14ac:dyDescent="0.2">
      <c r="B72" s="77" t="s">
        <v>286</v>
      </c>
      <c r="C72" s="76">
        <f>C81/C77</f>
        <v>7.2010946628098232E-2</v>
      </c>
      <c r="D72" s="76">
        <f>D81/D77</f>
        <v>6.6580766506265418E-2</v>
      </c>
      <c r="E72" s="76">
        <f>E81/E77</f>
        <v>7.7554981394716352E-2</v>
      </c>
      <c r="F72" s="76">
        <f>F81/F77</f>
        <v>6.5204442111595373E-2</v>
      </c>
      <c r="G72" s="76">
        <f>G81/G77</f>
        <v>5.2981251848756461E-2</v>
      </c>
      <c r="H72" s="76">
        <f>H81/H77</f>
        <v>3.869329431006284E-2</v>
      </c>
      <c r="I72" s="76">
        <f>I81/I77</f>
        <v>5.0019188947166435E-2</v>
      </c>
      <c r="J72" s="76">
        <f>J81/J77</f>
        <v>5.9587033181798872E-2</v>
      </c>
      <c r="L72" s="51">
        <v>0.06</v>
      </c>
      <c r="P72" s="76">
        <f>P81/P77</f>
        <v>6.2003113648157755E-2</v>
      </c>
      <c r="Q72" s="76">
        <f>Q81/Q77</f>
        <v>7.2186967961615847E-2</v>
      </c>
      <c r="R72" s="76">
        <f>R81/R77</f>
        <v>8.431232091690545E-2</v>
      </c>
      <c r="S72" s="76">
        <f>S81/S77</f>
        <v>7.6084293065425135E-2</v>
      </c>
      <c r="T72" s="76">
        <f>T81/T77</f>
        <v>5.0477188724002871E-2</v>
      </c>
      <c r="U72" s="76">
        <f>U81/U77</f>
        <v>7.2623624552565297E-2</v>
      </c>
      <c r="V72" s="76">
        <f>V81/V77</f>
        <v>8.1141152113019116E-2</v>
      </c>
      <c r="W72" s="76">
        <f>W81/W77</f>
        <v>7.0950123660346254E-2</v>
      </c>
      <c r="X72" s="76">
        <f>X81/X77</f>
        <v>6.4940033282962564E-2</v>
      </c>
      <c r="Y72" s="76">
        <f>Y81/Y77</f>
        <v>8.399182184892523E-2</v>
      </c>
      <c r="Z72" s="76">
        <f>Z81/Z77</f>
        <v>8.7338455124769218E-2</v>
      </c>
      <c r="AA72" s="76">
        <f>AA81/AA77</f>
        <v>8.0021144309915165E-2</v>
      </c>
      <c r="AB72" s="76">
        <f>AB81/AB77</f>
        <v>4.9750892194622101E-2</v>
      </c>
      <c r="AC72" s="76">
        <f>AC81/AC77</f>
        <v>7.7511615613610432E-2</v>
      </c>
      <c r="AD72" s="76">
        <f>AD81/AD77</f>
        <v>7.4368328604242667E-2</v>
      </c>
      <c r="AE72" s="76">
        <f>AE81/AE77</f>
        <v>6.7534804668949483E-2</v>
      </c>
      <c r="AF72" s="76">
        <f>AF81/AF77</f>
        <v>3.9725231333164461E-2</v>
      </c>
      <c r="AG72" s="76">
        <f>AG81/AG77</f>
        <v>5.4305407242015338E-2</v>
      </c>
      <c r="AH72" s="76">
        <f>AH81/AH77</f>
        <v>6.1326577015526539E-2</v>
      </c>
      <c r="AI72" s="76">
        <f>AI81/AI77</f>
        <v>6.2030465280371892E-2</v>
      </c>
    </row>
    <row r="73" spans="1:35" s="78" customFormat="1" x14ac:dyDescent="0.2">
      <c r="B73" s="77" t="s">
        <v>287</v>
      </c>
      <c r="C73" s="76">
        <f>C82/C78</f>
        <v>3.1127389835121221E-2</v>
      </c>
      <c r="D73" s="76">
        <f>D82/D78</f>
        <v>1.9687938805369259E-2</v>
      </c>
      <c r="E73" s="76">
        <f>E82/E78</f>
        <v>1.8365314253191316E-2</v>
      </c>
      <c r="F73" s="76">
        <f>F82/F78</f>
        <v>7.650825107664164E-3</v>
      </c>
      <c r="G73" s="76">
        <f>G82/G78</f>
        <v>1.6880839592766101E-3</v>
      </c>
      <c r="H73" s="76">
        <f>H82/H78</f>
        <v>-4.553582950795494E-3</v>
      </c>
      <c r="I73" s="76">
        <f>I82/I78</f>
        <v>3.7594868300476984E-3</v>
      </c>
      <c r="J73" s="76">
        <f>J82/J78</f>
        <v>-2.7866796711717987E-4</v>
      </c>
      <c r="L73" s="86"/>
      <c r="P73" s="76">
        <f>P82/P78</f>
        <v>2.7207051961823967E-2</v>
      </c>
      <c r="Q73" s="76">
        <f>Q82/Q78</f>
        <v>2.850760040794522E-2</v>
      </c>
      <c r="R73" s="76">
        <f>R82/R78</f>
        <v>3.0878316559926806E-2</v>
      </c>
      <c r="S73" s="76">
        <f>S82/S78</f>
        <v>3.9987958456675528E-2</v>
      </c>
      <c r="T73" s="76">
        <f>T82/T78</f>
        <v>2.2292993630573247E-2</v>
      </c>
      <c r="U73" s="76">
        <f>U82/U78</f>
        <v>1.1698403210656648E-2</v>
      </c>
      <c r="V73" s="76">
        <f>V82/V78</f>
        <v>3.2907301307477599E-2</v>
      </c>
      <c r="W73" s="76">
        <f>W82/W78</f>
        <v>1.2580966616841056E-2</v>
      </c>
      <c r="X73" s="76">
        <f>X82/X78</f>
        <v>1.748306328244513E-2</v>
      </c>
      <c r="Y73" s="76">
        <f>Y82/Y78</f>
        <v>1.7322762476513449E-2</v>
      </c>
      <c r="Z73" s="76">
        <f>Z82/Z78</f>
        <v>1.8144064863795915E-2</v>
      </c>
      <c r="AA73" s="76">
        <f>AA82/AA78</f>
        <v>2.0647390285032697E-2</v>
      </c>
      <c r="AB73" s="76">
        <f>AB82/AB78</f>
        <v>9.9099866541727012E-3</v>
      </c>
      <c r="AC73" s="76">
        <f>AC82/AC78</f>
        <v>1.2606168976307555E-2</v>
      </c>
      <c r="AD73" s="76">
        <f>AD82/AD78</f>
        <v>2.0282186948853615E-3</v>
      </c>
      <c r="AE73" s="76">
        <f>AE82/AE78</f>
        <v>5.1034873830450812E-3</v>
      </c>
      <c r="AF73" s="76">
        <f>AF82/AF78</f>
        <v>1.0151597184623715E-3</v>
      </c>
      <c r="AG73" s="76">
        <f>AG82/AG78</f>
        <v>1.3340686467606817E-2</v>
      </c>
      <c r="AH73" s="76">
        <f>AH82/AH78</f>
        <v>6.8926393419373143E-3</v>
      </c>
      <c r="AI73" s="76">
        <f>AI82/AI78</f>
        <v>-1.5295388639335872E-2</v>
      </c>
    </row>
    <row r="74" spans="1:35" s="78" customFormat="1" x14ac:dyDescent="0.2">
      <c r="B74" s="77" t="s">
        <v>288</v>
      </c>
      <c r="C74" s="76">
        <f>C86/C76</f>
        <v>6.8654737080886777E-2</v>
      </c>
      <c r="D74" s="76">
        <f>D86/D76</f>
        <v>5.0347333345883767E-2</v>
      </c>
      <c r="E74" s="76">
        <f>E86/E76</f>
        <v>4.0284578781892115E-2</v>
      </c>
      <c r="F74" s="76">
        <f>F86/F76</f>
        <v>3.5262189679981057E-2</v>
      </c>
      <c r="G74" s="76">
        <f>G86/G76</f>
        <v>3.9711112386794492E-2</v>
      </c>
      <c r="H74" s="76">
        <f>H86/H76</f>
        <v>5.333817419016499E-2</v>
      </c>
      <c r="I74" s="76">
        <f>I86/I76</f>
        <v>5.272517938279981E-2</v>
      </c>
      <c r="J74" s="76">
        <f>J86/J76</f>
        <v>4.3684229559179832E-2</v>
      </c>
      <c r="L74" s="51">
        <v>0.04</v>
      </c>
      <c r="P74" s="76">
        <f>P86/P76</f>
        <v>8.026700361195134E-2</v>
      </c>
      <c r="Q74" s="76">
        <f t="shared" ref="Q74:AI74" si="53">Q86/Q76</f>
        <v>6.9097852389594677E-2</v>
      </c>
      <c r="R74" s="76">
        <f t="shared" si="53"/>
        <v>5.7060429880197321E-2</v>
      </c>
      <c r="S74" s="76">
        <f t="shared" si="53"/>
        <v>6.0917856939082145E-2</v>
      </c>
      <c r="T74" s="76">
        <f t="shared" si="53"/>
        <v>7.8885075827075754E-2</v>
      </c>
      <c r="U74" s="76">
        <f t="shared" si="53"/>
        <v>3.8372834780901907E-2</v>
      </c>
      <c r="V74" s="76">
        <f t="shared" si="53"/>
        <v>3.3136205763634657E-2</v>
      </c>
      <c r="W74" s="76">
        <f t="shared" si="53"/>
        <v>3.6502384737678854E-2</v>
      </c>
      <c r="X74" s="76">
        <f t="shared" si="53"/>
        <v>4.6744158462815801E-2</v>
      </c>
      <c r="Y74" s="76">
        <f t="shared" si="53"/>
        <v>3.8472808756356114E-2</v>
      </c>
      <c r="Z74" s="76">
        <f t="shared" si="53"/>
        <v>3.4696797933431209E-2</v>
      </c>
      <c r="AA74" s="76">
        <f t="shared" si="53"/>
        <v>3.8116801998750782E-2</v>
      </c>
      <c r="AB74" s="76">
        <f t="shared" si="53"/>
        <v>4.0100632766638715E-2</v>
      </c>
      <c r="AC74" s="76">
        <f t="shared" si="53"/>
        <v>3.2342702313377804E-2</v>
      </c>
      <c r="AD74" s="76">
        <f t="shared" si="53"/>
        <v>3.1565720030158333E-2</v>
      </c>
      <c r="AE74" s="76">
        <f t="shared" si="53"/>
        <v>3.4436922315991221E-2</v>
      </c>
      <c r="AF74" s="76">
        <f t="shared" si="53"/>
        <v>4.3288256355494936E-2</v>
      </c>
      <c r="AG74" s="76">
        <f t="shared" si="53"/>
        <v>4.8903822111091268E-2</v>
      </c>
      <c r="AH74" s="76">
        <f t="shared" si="53"/>
        <v>3.2234693125721442E-2</v>
      </c>
      <c r="AI74" s="76">
        <f t="shared" si="53"/>
        <v>3.2353646833013436E-2</v>
      </c>
    </row>
    <row r="75" spans="1:35" s="78" customFormat="1" x14ac:dyDescent="0.2">
      <c r="A75" s="77"/>
      <c r="B75" s="76"/>
      <c r="C75" s="76"/>
      <c r="D75" s="76"/>
      <c r="E75" s="76"/>
      <c r="F75" s="76"/>
      <c r="G75" s="76"/>
      <c r="H75" s="76"/>
      <c r="I75" s="76"/>
      <c r="K75" s="51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  <c r="AA75" s="76"/>
      <c r="AB75" s="76"/>
      <c r="AC75" s="76"/>
      <c r="AD75" s="76"/>
      <c r="AE75" s="76"/>
      <c r="AF75" s="76"/>
      <c r="AG75" s="76"/>
      <c r="AH75" s="76"/>
      <c r="AI75" s="76"/>
    </row>
    <row r="76" spans="1:35" s="9" customFormat="1" x14ac:dyDescent="0.2">
      <c r="A76" s="9" t="s">
        <v>66</v>
      </c>
      <c r="C76" s="9">
        <v>229234</v>
      </c>
      <c r="D76" s="9">
        <v>265595</v>
      </c>
      <c r="E76" s="9">
        <v>260174</v>
      </c>
      <c r="F76" s="9">
        <v>274515</v>
      </c>
      <c r="G76" s="9">
        <v>365817</v>
      </c>
      <c r="H76" s="9">
        <v>123945</v>
      </c>
      <c r="I76" s="9">
        <v>97278</v>
      </c>
      <c r="J76" s="9">
        <v>82959</v>
      </c>
      <c r="L76" s="96">
        <f>L65</f>
        <v>378755.47849999997</v>
      </c>
      <c r="P76" s="9">
        <v>78351</v>
      </c>
      <c r="Q76" s="9">
        <v>52896</v>
      </c>
      <c r="R76" s="9">
        <v>45408</v>
      </c>
      <c r="S76" s="9">
        <v>52579</v>
      </c>
      <c r="T76" s="9">
        <v>88293</v>
      </c>
      <c r="U76" s="9">
        <v>61137</v>
      </c>
      <c r="V76" s="9">
        <v>53265</v>
      </c>
      <c r="W76" s="9">
        <v>62900</v>
      </c>
      <c r="X76" s="9">
        <v>84310</v>
      </c>
      <c r="Y76" s="9">
        <v>58015</v>
      </c>
      <c r="Z76" s="9">
        <v>53809</v>
      </c>
      <c r="AA76" s="9">
        <v>64040</v>
      </c>
      <c r="AB76" s="9">
        <v>91819</v>
      </c>
      <c r="AC76" s="9">
        <v>58313</v>
      </c>
      <c r="AD76" s="9">
        <v>59685</v>
      </c>
      <c r="AE76" s="9">
        <v>64698</v>
      </c>
      <c r="AF76" s="9">
        <v>111439</v>
      </c>
      <c r="AG76" s="9">
        <v>89584</v>
      </c>
      <c r="AH76" s="9">
        <v>81434</v>
      </c>
      <c r="AI76" s="9">
        <v>83360</v>
      </c>
    </row>
    <row r="77" spans="1:35" x14ac:dyDescent="0.2">
      <c r="A77" s="5" t="s">
        <v>79</v>
      </c>
      <c r="C77">
        <v>141048</v>
      </c>
      <c r="D77">
        <v>163756</v>
      </c>
      <c r="E77">
        <v>161782</v>
      </c>
      <c r="F77">
        <v>169559</v>
      </c>
      <c r="G77">
        <v>212981</v>
      </c>
      <c r="H77">
        <v>69702</v>
      </c>
      <c r="I77">
        <v>54719</v>
      </c>
      <c r="J77">
        <v>47074</v>
      </c>
      <c r="L77" s="56">
        <f>L76*L68</f>
        <v>219678.17752999996</v>
      </c>
      <c r="P77">
        <v>48175</v>
      </c>
      <c r="Q77">
        <v>32305</v>
      </c>
      <c r="R77">
        <v>27920</v>
      </c>
      <c r="S77">
        <v>32648</v>
      </c>
      <c r="T77">
        <v>54381</v>
      </c>
      <c r="U77">
        <v>37715</v>
      </c>
      <c r="V77">
        <v>32844</v>
      </c>
      <c r="W77">
        <v>38816</v>
      </c>
      <c r="X77">
        <v>52279</v>
      </c>
      <c r="Y77">
        <v>36194</v>
      </c>
      <c r="Z77">
        <v>33582</v>
      </c>
      <c r="AA77">
        <v>39727</v>
      </c>
      <c r="AB77">
        <v>56602</v>
      </c>
      <c r="AC77">
        <v>35943</v>
      </c>
      <c r="AD77">
        <v>37005</v>
      </c>
      <c r="AE77">
        <v>40009</v>
      </c>
      <c r="AF77">
        <v>67111</v>
      </c>
      <c r="AG77">
        <v>51505</v>
      </c>
      <c r="AH77">
        <v>46179</v>
      </c>
      <c r="AI77">
        <v>48186</v>
      </c>
    </row>
    <row r="78" spans="1:35" s="10" customFormat="1" x14ac:dyDescent="0.2">
      <c r="A78" s="10" t="s">
        <v>80</v>
      </c>
      <c r="C78" s="10">
        <f>C76-C77</f>
        <v>88186</v>
      </c>
      <c r="D78" s="10">
        <f>D76-D77</f>
        <v>101839</v>
      </c>
      <c r="E78" s="10">
        <f>E76-E77</f>
        <v>98392</v>
      </c>
      <c r="F78" s="10">
        <f>F76-F77</f>
        <v>104956</v>
      </c>
      <c r="G78" s="10">
        <f>G76-G77</f>
        <v>152836</v>
      </c>
      <c r="H78" s="10">
        <f t="shared" ref="H78:J78" si="54">H76-H77</f>
        <v>54243</v>
      </c>
      <c r="I78" s="10">
        <f t="shared" si="54"/>
        <v>42559</v>
      </c>
      <c r="J78" s="10">
        <f t="shared" si="54"/>
        <v>35885</v>
      </c>
      <c r="L78" s="48">
        <f t="shared" ref="L78" si="55">L76-L77</f>
        <v>159077.30097000001</v>
      </c>
      <c r="P78" s="10">
        <f>P76-P77</f>
        <v>30176</v>
      </c>
      <c r="Q78" s="10">
        <f t="shared" ref="Q78:AB78" si="56">Q76-Q77</f>
        <v>20591</v>
      </c>
      <c r="R78" s="10">
        <f t="shared" si="56"/>
        <v>17488</v>
      </c>
      <c r="S78" s="10">
        <f t="shared" si="56"/>
        <v>19931</v>
      </c>
      <c r="T78" s="10">
        <f t="shared" si="56"/>
        <v>33912</v>
      </c>
      <c r="U78" s="10">
        <f t="shared" si="56"/>
        <v>23422</v>
      </c>
      <c r="V78" s="10">
        <f t="shared" si="56"/>
        <v>20421</v>
      </c>
      <c r="W78" s="10">
        <f t="shared" si="56"/>
        <v>24084</v>
      </c>
      <c r="X78" s="10">
        <f t="shared" si="56"/>
        <v>32031</v>
      </c>
      <c r="Y78" s="10">
        <f t="shared" si="56"/>
        <v>21821</v>
      </c>
      <c r="Z78" s="10">
        <f t="shared" si="56"/>
        <v>20227</v>
      </c>
      <c r="AA78" s="10">
        <f t="shared" si="56"/>
        <v>24313</v>
      </c>
      <c r="AB78" s="10">
        <f t="shared" si="56"/>
        <v>35217</v>
      </c>
      <c r="AC78" s="10">
        <f>AC76-AC77</f>
        <v>22370</v>
      </c>
      <c r="AD78" s="10">
        <f t="shared" ref="AD78:AI78" si="57">AD76-AD77</f>
        <v>22680</v>
      </c>
      <c r="AE78" s="10">
        <f t="shared" si="57"/>
        <v>24689</v>
      </c>
      <c r="AF78" s="10">
        <f t="shared" si="57"/>
        <v>44328</v>
      </c>
      <c r="AG78" s="10">
        <f t="shared" si="57"/>
        <v>38079</v>
      </c>
      <c r="AH78" s="10">
        <f t="shared" si="57"/>
        <v>35255</v>
      </c>
      <c r="AI78" s="10">
        <f t="shared" si="57"/>
        <v>35174</v>
      </c>
    </row>
    <row r="79" spans="1:35" s="9" customFormat="1" x14ac:dyDescent="0.2">
      <c r="L79" s="60"/>
    </row>
    <row r="80" spans="1:35" x14ac:dyDescent="0.2">
      <c r="B80" s="11" t="s">
        <v>83</v>
      </c>
      <c r="C80">
        <v>26842</v>
      </c>
      <c r="D80">
        <v>30941</v>
      </c>
      <c r="E80">
        <v>34462</v>
      </c>
      <c r="F80">
        <v>38668</v>
      </c>
      <c r="G80">
        <v>43887</v>
      </c>
      <c r="H80">
        <v>12755</v>
      </c>
      <c r="I80">
        <v>12580</v>
      </c>
      <c r="J80">
        <v>12809</v>
      </c>
      <c r="L80" s="56">
        <f>L76*L71</f>
        <v>45450.657419999996</v>
      </c>
      <c r="P80">
        <v>6817</v>
      </c>
      <c r="Q80">
        <v>6494</v>
      </c>
      <c r="R80">
        <v>6720</v>
      </c>
      <c r="S80">
        <v>6811</v>
      </c>
      <c r="T80">
        <v>7638</v>
      </c>
      <c r="U80">
        <v>7528</v>
      </c>
      <c r="V80">
        <v>7809</v>
      </c>
      <c r="W80">
        <v>7966</v>
      </c>
      <c r="X80">
        <v>8685</v>
      </c>
      <c r="Y80">
        <v>8406</v>
      </c>
      <c r="Z80">
        <v>8683</v>
      </c>
      <c r="AA80">
        <v>8688</v>
      </c>
      <c r="AB80">
        <v>9648</v>
      </c>
      <c r="AC80">
        <v>9517</v>
      </c>
      <c r="AD80">
        <v>9589</v>
      </c>
      <c r="AE80">
        <v>9914</v>
      </c>
      <c r="AF80">
        <v>10794</v>
      </c>
      <c r="AG80">
        <v>10576</v>
      </c>
      <c r="AH80">
        <v>11129</v>
      </c>
      <c r="AI80">
        <v>11388</v>
      </c>
    </row>
    <row r="81" spans="1:35" x14ac:dyDescent="0.2">
      <c r="B81" t="s">
        <v>86</v>
      </c>
      <c r="C81">
        <v>10157</v>
      </c>
      <c r="D81">
        <v>10903</v>
      </c>
      <c r="E81">
        <v>12547</v>
      </c>
      <c r="F81">
        <v>11056</v>
      </c>
      <c r="G81">
        <v>11284</v>
      </c>
      <c r="H81">
        <v>2697</v>
      </c>
      <c r="I81">
        <v>2737</v>
      </c>
      <c r="J81">
        <v>2805</v>
      </c>
      <c r="L81" s="56">
        <f>L76*L72</f>
        <v>22725.328709999998</v>
      </c>
      <c r="P81">
        <v>2987</v>
      </c>
      <c r="Q81">
        <v>2332</v>
      </c>
      <c r="R81">
        <v>2354</v>
      </c>
      <c r="S81">
        <v>2484</v>
      </c>
      <c r="T81">
        <v>2745</v>
      </c>
      <c r="U81">
        <v>2739</v>
      </c>
      <c r="V81">
        <v>2665</v>
      </c>
      <c r="W81">
        <v>2754</v>
      </c>
      <c r="X81">
        <v>3395</v>
      </c>
      <c r="Y81">
        <v>3040</v>
      </c>
      <c r="Z81">
        <v>2933</v>
      </c>
      <c r="AA81">
        <v>3179</v>
      </c>
      <c r="AB81">
        <v>2816</v>
      </c>
      <c r="AC81">
        <v>2786</v>
      </c>
      <c r="AD81">
        <v>2752</v>
      </c>
      <c r="AE81">
        <v>2702</v>
      </c>
      <c r="AF81">
        <v>2666</v>
      </c>
      <c r="AG81">
        <v>2797</v>
      </c>
      <c r="AH81">
        <v>2832</v>
      </c>
      <c r="AI81">
        <v>2989</v>
      </c>
    </row>
    <row r="82" spans="1:35" x14ac:dyDescent="0.2">
      <c r="B82" t="s">
        <v>183</v>
      </c>
      <c r="C82">
        <v>2745</v>
      </c>
      <c r="D82">
        <v>2005</v>
      </c>
      <c r="E82">
        <v>1807</v>
      </c>
      <c r="F82">
        <v>803</v>
      </c>
      <c r="G82">
        <v>258</v>
      </c>
      <c r="H82">
        <v>-247</v>
      </c>
      <c r="I82">
        <v>160</v>
      </c>
      <c r="J82">
        <v>-10</v>
      </c>
      <c r="L82" s="56">
        <v>200</v>
      </c>
      <c r="P82">
        <v>821</v>
      </c>
      <c r="Q82">
        <v>587</v>
      </c>
      <c r="R82">
        <v>540</v>
      </c>
      <c r="S82">
        <v>797</v>
      </c>
      <c r="T82">
        <v>756</v>
      </c>
      <c r="U82">
        <v>274</v>
      </c>
      <c r="V82">
        <v>672</v>
      </c>
      <c r="W82">
        <v>303</v>
      </c>
      <c r="X82">
        <v>560</v>
      </c>
      <c r="Y82">
        <v>378</v>
      </c>
      <c r="Z82">
        <v>367</v>
      </c>
      <c r="AA82">
        <v>502</v>
      </c>
      <c r="AB82">
        <v>349</v>
      </c>
      <c r="AC82">
        <v>282</v>
      </c>
      <c r="AD82">
        <v>46</v>
      </c>
      <c r="AE82">
        <v>126</v>
      </c>
      <c r="AF82">
        <v>45</v>
      </c>
      <c r="AG82">
        <v>508</v>
      </c>
      <c r="AH82">
        <v>243</v>
      </c>
      <c r="AI82">
        <v>-538</v>
      </c>
    </row>
    <row r="83" spans="1:35" s="34" customFormat="1" x14ac:dyDescent="0.2">
      <c r="A83" s="34" t="s">
        <v>84</v>
      </c>
      <c r="C83" s="34">
        <f>C80-C81-C82</f>
        <v>13940</v>
      </c>
      <c r="D83" s="34">
        <f>D80-D81-D82</f>
        <v>18033</v>
      </c>
      <c r="E83" s="34">
        <f>E80-E81-E82</f>
        <v>20108</v>
      </c>
      <c r="F83" s="34">
        <f>F80-F81-F82</f>
        <v>26809</v>
      </c>
      <c r="G83" s="34">
        <f>G80-G81-G82</f>
        <v>32345</v>
      </c>
      <c r="H83" s="34">
        <f>H80-H81-H82</f>
        <v>10305</v>
      </c>
      <c r="I83" s="34">
        <f>I80-I81-I82</f>
        <v>9683</v>
      </c>
      <c r="J83" s="34">
        <f>J80-J81-J82</f>
        <v>10014</v>
      </c>
      <c r="L83" s="97">
        <f>L80-L81-L82</f>
        <v>22525.328709999998</v>
      </c>
      <c r="P83" s="34">
        <f>P80-P81-P82</f>
        <v>3009</v>
      </c>
      <c r="Q83" s="34">
        <f t="shared" ref="Q83:AI83" si="58">Q80-Q81-Q82</f>
        <v>3575</v>
      </c>
      <c r="R83" s="34">
        <f t="shared" si="58"/>
        <v>3826</v>
      </c>
      <c r="S83" s="34">
        <f t="shared" si="58"/>
        <v>3530</v>
      </c>
      <c r="T83" s="34">
        <f t="shared" si="58"/>
        <v>4137</v>
      </c>
      <c r="U83" s="34">
        <f t="shared" si="58"/>
        <v>4515</v>
      </c>
      <c r="V83" s="34">
        <f t="shared" si="58"/>
        <v>4472</v>
      </c>
      <c r="W83" s="34">
        <f t="shared" si="58"/>
        <v>4909</v>
      </c>
      <c r="X83" s="34">
        <f t="shared" si="58"/>
        <v>4730</v>
      </c>
      <c r="Y83" s="34">
        <f t="shared" si="58"/>
        <v>4988</v>
      </c>
      <c r="Z83" s="34">
        <f t="shared" si="58"/>
        <v>5383</v>
      </c>
      <c r="AA83" s="34">
        <f t="shared" si="58"/>
        <v>5007</v>
      </c>
      <c r="AB83" s="34">
        <f t="shared" si="58"/>
        <v>6483</v>
      </c>
      <c r="AC83" s="34">
        <f t="shared" si="58"/>
        <v>6449</v>
      </c>
      <c r="AD83" s="34">
        <f t="shared" si="58"/>
        <v>6791</v>
      </c>
      <c r="AE83" s="34">
        <f t="shared" si="58"/>
        <v>7086</v>
      </c>
      <c r="AF83" s="34">
        <f t="shared" si="58"/>
        <v>8083</v>
      </c>
      <c r="AG83" s="34">
        <f t="shared" si="58"/>
        <v>7271</v>
      </c>
      <c r="AH83" s="34">
        <f t="shared" si="58"/>
        <v>8054</v>
      </c>
      <c r="AI83" s="34">
        <f t="shared" si="58"/>
        <v>8937</v>
      </c>
    </row>
    <row r="84" spans="1:35" s="10" customFormat="1" x14ac:dyDescent="0.2">
      <c r="A84" s="10" t="s">
        <v>99</v>
      </c>
      <c r="C84" s="10">
        <f>C78-C83</f>
        <v>74246</v>
      </c>
      <c r="D84" s="10">
        <f>D78-D83</f>
        <v>83806</v>
      </c>
      <c r="E84" s="10">
        <f>E78-E83</f>
        <v>78284</v>
      </c>
      <c r="F84" s="10">
        <f>F78-F83</f>
        <v>78147</v>
      </c>
      <c r="G84" s="10">
        <f>G78-G83</f>
        <v>120491</v>
      </c>
      <c r="H84" s="10">
        <f>H78-H83</f>
        <v>43938</v>
      </c>
      <c r="I84" s="10">
        <f>I78-I83</f>
        <v>32876</v>
      </c>
      <c r="J84" s="10">
        <f>J78-J83</f>
        <v>25871</v>
      </c>
      <c r="L84" s="98">
        <f>L78-L83</f>
        <v>136551.97226000001</v>
      </c>
      <c r="P84" s="10">
        <f>P78-P83</f>
        <v>27167</v>
      </c>
      <c r="Q84" s="10">
        <f t="shared" ref="Q84:AI84" si="59">Q78-Q83</f>
        <v>17016</v>
      </c>
      <c r="R84" s="10">
        <f t="shared" si="59"/>
        <v>13662</v>
      </c>
      <c r="S84" s="10">
        <f t="shared" si="59"/>
        <v>16401</v>
      </c>
      <c r="T84" s="10">
        <f t="shared" si="59"/>
        <v>29775</v>
      </c>
      <c r="U84" s="10">
        <f t="shared" si="59"/>
        <v>18907</v>
      </c>
      <c r="V84" s="10">
        <f t="shared" si="59"/>
        <v>15949</v>
      </c>
      <c r="W84" s="10">
        <f t="shared" si="59"/>
        <v>19175</v>
      </c>
      <c r="X84" s="10">
        <f t="shared" si="59"/>
        <v>27301</v>
      </c>
      <c r="Y84" s="10">
        <f t="shared" si="59"/>
        <v>16833</v>
      </c>
      <c r="Z84" s="10">
        <f t="shared" si="59"/>
        <v>14844</v>
      </c>
      <c r="AA84" s="10">
        <f t="shared" si="59"/>
        <v>19306</v>
      </c>
      <c r="AB84" s="10">
        <f t="shared" si="59"/>
        <v>28734</v>
      </c>
      <c r="AC84" s="10">
        <f t="shared" si="59"/>
        <v>15921</v>
      </c>
      <c r="AD84" s="10">
        <f t="shared" si="59"/>
        <v>15889</v>
      </c>
      <c r="AE84" s="10">
        <f t="shared" si="59"/>
        <v>17603</v>
      </c>
      <c r="AF84" s="10">
        <f t="shared" si="59"/>
        <v>36245</v>
      </c>
      <c r="AG84" s="10">
        <f t="shared" si="59"/>
        <v>30808</v>
      </c>
      <c r="AH84" s="10">
        <f t="shared" si="59"/>
        <v>27201</v>
      </c>
      <c r="AI84" s="10">
        <f t="shared" si="59"/>
        <v>26237</v>
      </c>
    </row>
    <row r="85" spans="1:35" x14ac:dyDescent="0.2">
      <c r="A85" t="s">
        <v>86</v>
      </c>
      <c r="C85">
        <v>10157</v>
      </c>
      <c r="D85">
        <v>10903</v>
      </c>
      <c r="E85">
        <v>12547</v>
      </c>
      <c r="F85">
        <v>11056</v>
      </c>
      <c r="G85">
        <v>11284</v>
      </c>
      <c r="H85">
        <v>2697</v>
      </c>
      <c r="I85">
        <v>2737</v>
      </c>
      <c r="J85">
        <v>2805</v>
      </c>
      <c r="L85" s="56">
        <f>L76*L72</f>
        <v>22725.328709999998</v>
      </c>
      <c r="P85">
        <v>2987</v>
      </c>
      <c r="Q85">
        <v>2332</v>
      </c>
      <c r="R85">
        <v>2354</v>
      </c>
      <c r="S85">
        <v>2484</v>
      </c>
      <c r="T85">
        <v>2745</v>
      </c>
      <c r="U85">
        <v>2739</v>
      </c>
      <c r="V85">
        <v>2665</v>
      </c>
      <c r="W85">
        <v>2754</v>
      </c>
      <c r="X85">
        <v>3395</v>
      </c>
      <c r="Y85">
        <v>3040</v>
      </c>
      <c r="Z85">
        <v>2933</v>
      </c>
      <c r="AA85">
        <v>3179</v>
      </c>
      <c r="AB85">
        <v>2816</v>
      </c>
      <c r="AC85">
        <v>2786</v>
      </c>
      <c r="AD85">
        <v>2752</v>
      </c>
      <c r="AE85">
        <v>2702</v>
      </c>
      <c r="AF85">
        <v>2666</v>
      </c>
      <c r="AG85">
        <v>2797</v>
      </c>
      <c r="AH85">
        <v>2832</v>
      </c>
      <c r="AI85">
        <v>2989</v>
      </c>
    </row>
    <row r="86" spans="1:35" x14ac:dyDescent="0.2">
      <c r="A86" s="11" t="s">
        <v>149</v>
      </c>
      <c r="C86">
        <v>15738</v>
      </c>
      <c r="D86">
        <v>13372</v>
      </c>
      <c r="E86">
        <v>10481</v>
      </c>
      <c r="F86">
        <v>9680</v>
      </c>
      <c r="G86">
        <v>14527</v>
      </c>
      <c r="H86">
        <v>6611</v>
      </c>
      <c r="I86">
        <v>5129</v>
      </c>
      <c r="J86">
        <v>3624</v>
      </c>
      <c r="L86" s="56">
        <f>L76*L74</f>
        <v>15150.219139999999</v>
      </c>
      <c r="P86">
        <v>6289</v>
      </c>
      <c r="Q86">
        <v>3655</v>
      </c>
      <c r="R86">
        <v>2591</v>
      </c>
      <c r="S86">
        <v>3203</v>
      </c>
      <c r="T86">
        <v>6965</v>
      </c>
      <c r="U86">
        <v>2346</v>
      </c>
      <c r="V86">
        <v>1765</v>
      </c>
      <c r="W86">
        <v>2296</v>
      </c>
      <c r="X86">
        <v>3941</v>
      </c>
      <c r="Y86">
        <v>2232</v>
      </c>
      <c r="Z86">
        <v>1867</v>
      </c>
      <c r="AA86">
        <v>2441</v>
      </c>
      <c r="AB86">
        <v>3682</v>
      </c>
      <c r="AC86">
        <v>1886</v>
      </c>
      <c r="AD86">
        <v>1884</v>
      </c>
      <c r="AE86">
        <v>2228</v>
      </c>
      <c r="AF86">
        <v>4824</v>
      </c>
      <c r="AG86">
        <v>4381</v>
      </c>
      <c r="AH86">
        <v>2625</v>
      </c>
      <c r="AI86">
        <v>2697</v>
      </c>
    </row>
    <row r="87" spans="1:35" s="10" customFormat="1" x14ac:dyDescent="0.2">
      <c r="A87" s="85" t="s">
        <v>284</v>
      </c>
      <c r="C87" s="10">
        <f>C84-C85-C86</f>
        <v>48351</v>
      </c>
      <c r="D87" s="10">
        <f>D84-D85-D86</f>
        <v>59531</v>
      </c>
      <c r="E87" s="10">
        <f>E84-E85-E86</f>
        <v>55256</v>
      </c>
      <c r="F87" s="10">
        <f>F84-F85-F86</f>
        <v>57411</v>
      </c>
      <c r="G87" s="10">
        <f>G84-G85-G86</f>
        <v>94680</v>
      </c>
      <c r="H87" s="10">
        <f>H84-H85-H86</f>
        <v>34630</v>
      </c>
      <c r="I87" s="10">
        <f>I84-I85-I86</f>
        <v>25010</v>
      </c>
      <c r="J87" s="10">
        <f>J84-J85-J86</f>
        <v>19442</v>
      </c>
      <c r="L87" s="99">
        <f t="shared" ref="L87" si="60">L84-L85-L86</f>
        <v>98676.424410000007</v>
      </c>
      <c r="P87" s="10">
        <f>P84-P85-P86</f>
        <v>17891</v>
      </c>
      <c r="Q87" s="10">
        <f t="shared" ref="Q87:AI87" si="61">Q84-Q85-Q86</f>
        <v>11029</v>
      </c>
      <c r="R87" s="10">
        <f t="shared" si="61"/>
        <v>8717</v>
      </c>
      <c r="S87" s="10">
        <f t="shared" si="61"/>
        <v>10714</v>
      </c>
      <c r="T87" s="10">
        <f t="shared" si="61"/>
        <v>20065</v>
      </c>
      <c r="U87" s="10">
        <f t="shared" si="61"/>
        <v>13822</v>
      </c>
      <c r="V87" s="10">
        <f t="shared" si="61"/>
        <v>11519</v>
      </c>
      <c r="W87" s="10">
        <f t="shared" si="61"/>
        <v>14125</v>
      </c>
      <c r="X87" s="10">
        <f t="shared" si="61"/>
        <v>19965</v>
      </c>
      <c r="Y87" s="10">
        <f t="shared" si="61"/>
        <v>11561</v>
      </c>
      <c r="Z87" s="10">
        <f t="shared" si="61"/>
        <v>10044</v>
      </c>
      <c r="AA87" s="10">
        <f t="shared" si="61"/>
        <v>13686</v>
      </c>
      <c r="AB87" s="10">
        <f t="shared" si="61"/>
        <v>22236</v>
      </c>
      <c r="AC87" s="10">
        <f t="shared" si="61"/>
        <v>11249</v>
      </c>
      <c r="AD87" s="10">
        <f t="shared" si="61"/>
        <v>11253</v>
      </c>
      <c r="AE87" s="10">
        <f t="shared" si="61"/>
        <v>12673</v>
      </c>
      <c r="AF87" s="10">
        <f t="shared" si="61"/>
        <v>28755</v>
      </c>
      <c r="AG87" s="10">
        <f t="shared" si="61"/>
        <v>23630</v>
      </c>
      <c r="AH87" s="10">
        <f t="shared" si="61"/>
        <v>21744</v>
      </c>
      <c r="AI87" s="10">
        <f t="shared" si="61"/>
        <v>20551</v>
      </c>
    </row>
    <row r="88" spans="1:35" x14ac:dyDescent="0.2">
      <c r="A88" s="11"/>
      <c r="L88" s="62"/>
    </row>
    <row r="89" spans="1:35" x14ac:dyDescent="0.2">
      <c r="A89" t="s">
        <v>110</v>
      </c>
      <c r="C89" s="35">
        <f>C78/C76</f>
        <v>0.38469860491899105</v>
      </c>
      <c r="D89" s="35">
        <f>D78/D76</f>
        <v>0.38343718820007905</v>
      </c>
      <c r="E89" s="35">
        <f>E78/E76</f>
        <v>0.37817768109034722</v>
      </c>
      <c r="F89" s="35">
        <f>F78/F76</f>
        <v>0.38233247727810865</v>
      </c>
      <c r="G89" s="35">
        <f>G78/G76</f>
        <v>0.41779359625167778</v>
      </c>
      <c r="H89" s="35">
        <f>H78/H76</f>
        <v>0.43763766186615033</v>
      </c>
      <c r="I89" s="35">
        <f>I78/I76</f>
        <v>0.43749871502292398</v>
      </c>
      <c r="J89" s="35">
        <f>J78/J76</f>
        <v>0.43256307332537758</v>
      </c>
      <c r="K89" s="35"/>
      <c r="L89" s="73">
        <f>L78/L76</f>
        <v>0.42000000000000004</v>
      </c>
      <c r="P89" s="35">
        <f>P78/P76</f>
        <v>0.38513867085295656</v>
      </c>
      <c r="Q89" s="35">
        <f>Q78/Q76</f>
        <v>0.38927329098608593</v>
      </c>
      <c r="R89" s="35">
        <f>R78/R76</f>
        <v>0.38513037350246654</v>
      </c>
      <c r="S89" s="35">
        <f>S78/S76</f>
        <v>0.37906768862093232</v>
      </c>
      <c r="T89" s="35">
        <f>T78/T76</f>
        <v>0.38408480853521798</v>
      </c>
      <c r="U89" s="35">
        <f>U78/U76</f>
        <v>0.38310679294044525</v>
      </c>
      <c r="V89" s="35">
        <f>V78/V76</f>
        <v>0.38338496198254013</v>
      </c>
      <c r="W89" s="35">
        <f>W78/W76</f>
        <v>0.38289348171701115</v>
      </c>
      <c r="X89" s="35">
        <f>X78/X76</f>
        <v>0.37991934527339583</v>
      </c>
      <c r="Y89" s="35">
        <f>Y78/Y76</f>
        <v>0.37612686374213566</v>
      </c>
      <c r="Z89" s="35">
        <f>Z78/Z76</f>
        <v>0.37590365923916075</v>
      </c>
      <c r="AA89" s="35">
        <f>AA78/AA76</f>
        <v>0.37965334166146159</v>
      </c>
      <c r="AB89" s="35">
        <f>AB78/AB76</f>
        <v>0.38354806739345887</v>
      </c>
      <c r="AC89" s="35">
        <f>AC78/AC76</f>
        <v>0.38361943305952362</v>
      </c>
      <c r="AD89" s="35">
        <f>AD78/AD76</f>
        <v>0.37999497361146017</v>
      </c>
      <c r="AE89" s="35">
        <f>AE78/AE76</f>
        <v>0.38160375900336951</v>
      </c>
      <c r="AF89" s="35">
        <f>AF78/AF76</f>
        <v>0.39777815665969724</v>
      </c>
      <c r="AG89" s="35">
        <f>AG78/AG76</f>
        <v>0.42506474370423292</v>
      </c>
      <c r="AH89" s="35">
        <f>AH78/AH76</f>
        <v>0.43292727853230839</v>
      </c>
      <c r="AI89" s="35">
        <f>AI78/AI76</f>
        <v>0.42195297504798462</v>
      </c>
    </row>
    <row r="90" spans="1:35" x14ac:dyDescent="0.2">
      <c r="A90" t="s">
        <v>111</v>
      </c>
      <c r="C90" s="35">
        <f>C84/C76</f>
        <v>0.3238873814530131</v>
      </c>
      <c r="D90" s="35">
        <f>D84/D76</f>
        <v>0.31554057870065327</v>
      </c>
      <c r="E90" s="35">
        <f>E84/E76</f>
        <v>0.3008909422155942</v>
      </c>
      <c r="F90" s="35">
        <f>F84/F76</f>
        <v>0.28467296869023551</v>
      </c>
      <c r="G90" s="35">
        <f>G84/G76</f>
        <v>0.32937507004868555</v>
      </c>
      <c r="H90" s="35">
        <f>H84/H76</f>
        <v>0.35449594578240351</v>
      </c>
      <c r="I90" s="35">
        <f>I84/I76</f>
        <v>0.33795925080696559</v>
      </c>
      <c r="J90" s="35">
        <f>J84/J76</f>
        <v>0.31185284297062404</v>
      </c>
      <c r="K90" s="35"/>
      <c r="L90" s="73">
        <f>L84/L76</f>
        <v>0.36052804516727277</v>
      </c>
      <c r="P90" s="35">
        <f>P84/P76</f>
        <v>0.34673456624676136</v>
      </c>
      <c r="Q90" s="35">
        <f>Q84/Q76</f>
        <v>0.32168784029038111</v>
      </c>
      <c r="R90" s="35">
        <f>R84/R76</f>
        <v>0.30087209302325579</v>
      </c>
      <c r="S90" s="35">
        <f>S84/S76</f>
        <v>0.31193061868806937</v>
      </c>
      <c r="T90" s="35">
        <f>T84/T76</f>
        <v>0.33722945193843229</v>
      </c>
      <c r="U90" s="35">
        <f>U84/U76</f>
        <v>0.30925626052963018</v>
      </c>
      <c r="V90" s="35">
        <f>V84/V76</f>
        <v>0.299427391345161</v>
      </c>
      <c r="W90" s="35">
        <f>W84/W76</f>
        <v>0.3048489666136725</v>
      </c>
      <c r="X90" s="35">
        <f>X84/X76</f>
        <v>0.32381686632665163</v>
      </c>
      <c r="Y90" s="35">
        <f>Y84/Y76</f>
        <v>0.29014909937085237</v>
      </c>
      <c r="Z90" s="35">
        <f>Z84/Z76</f>
        <v>0.27586463231058</v>
      </c>
      <c r="AA90" s="35">
        <f>AA84/AA76</f>
        <v>0.30146783260462212</v>
      </c>
      <c r="AB90" s="35">
        <f>AB84/AB76</f>
        <v>0.31294176586545269</v>
      </c>
      <c r="AC90" s="35">
        <f>AC84/AC76</f>
        <v>0.27302659784267658</v>
      </c>
      <c r="AD90" s="35">
        <f>AD84/AD76</f>
        <v>0.26621429169808158</v>
      </c>
      <c r="AE90" s="35">
        <f>AE84/AE76</f>
        <v>0.27207950786732205</v>
      </c>
      <c r="AF90" s="35">
        <f>AF84/AF76</f>
        <v>0.32524520141063723</v>
      </c>
      <c r="AG90" s="35">
        <f>AG84/AG76</f>
        <v>0.34390069655295591</v>
      </c>
      <c r="AH90" s="35">
        <f>AH84/AH76</f>
        <v>0.33402510008104724</v>
      </c>
      <c r="AI90" s="35">
        <f>AI84/AI76</f>
        <v>0.31474328214971209</v>
      </c>
    </row>
    <row r="91" spans="1:35" x14ac:dyDescent="0.2">
      <c r="C91" s="35"/>
      <c r="D91" s="35"/>
      <c r="E91" s="35"/>
      <c r="F91" s="35"/>
      <c r="G91" s="35"/>
      <c r="H91" s="35"/>
      <c r="I91" s="35"/>
      <c r="J91" s="35"/>
      <c r="K91" s="35"/>
      <c r="L91" s="61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</row>
    <row r="92" spans="1:35" x14ac:dyDescent="0.2">
      <c r="C92" s="35"/>
      <c r="D92" s="35"/>
      <c r="E92" s="35"/>
      <c r="F92" s="35"/>
      <c r="G92" s="35"/>
      <c r="H92" s="35"/>
      <c r="I92" s="35"/>
      <c r="J92" s="35"/>
      <c r="K92" s="35"/>
      <c r="L92" s="61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</row>
    <row r="93" spans="1:35" x14ac:dyDescent="0.2">
      <c r="A93" t="s">
        <v>279</v>
      </c>
      <c r="C93" s="35"/>
      <c r="D93" s="35"/>
      <c r="E93" s="35"/>
      <c r="F93" s="35"/>
      <c r="G93" s="35"/>
      <c r="H93" s="35"/>
      <c r="I93" s="35"/>
      <c r="J93" s="35"/>
      <c r="K93" s="35"/>
      <c r="L93" s="61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</row>
    <row r="94" spans="1:35" s="9" customFormat="1" x14ac:dyDescent="0.2">
      <c r="B94" s="11" t="s">
        <v>284</v>
      </c>
      <c r="C94" s="9">
        <f>C106-SUM(C103:C105)-C95</f>
        <v>48351</v>
      </c>
      <c r="D94" s="9">
        <f>D106-SUM(D103:D105)-D95</f>
        <v>59531</v>
      </c>
      <c r="E94" s="9">
        <f>E106-SUM(E103:E105)-E95</f>
        <v>55256</v>
      </c>
      <c r="F94" s="9">
        <f>F106-SUM(F103:F105)-F95</f>
        <v>57411</v>
      </c>
      <c r="G94" s="9">
        <f>G106-SUM(G103:G105)-G95</f>
        <v>94680</v>
      </c>
      <c r="H94" s="9">
        <f>H106-SUM(H103:H105)-H95</f>
        <v>34630</v>
      </c>
      <c r="I94" s="9">
        <f>I106-SUM(I103:I105)-I95</f>
        <v>25010</v>
      </c>
      <c r="J94" s="9">
        <f>J106-SUM(J103:J105)-J95</f>
        <v>19442</v>
      </c>
      <c r="L94" s="96">
        <f>L87</f>
        <v>98676.424410000007</v>
      </c>
      <c r="P94" s="9">
        <f>P106-SUM(P103:P105)-P95</f>
        <v>17891</v>
      </c>
      <c r="Q94" s="9">
        <f>Q106-SUM(Q103:Q105)-Q95</f>
        <v>11029</v>
      </c>
      <c r="R94" s="9">
        <f t="shared" ref="R94:AI94" si="62">R106-SUM(R103:R105)-R95</f>
        <v>8717</v>
      </c>
      <c r="S94" s="9">
        <f t="shared" si="62"/>
        <v>10714</v>
      </c>
      <c r="T94" s="9">
        <f t="shared" si="62"/>
        <v>20065</v>
      </c>
      <c r="U94" s="9">
        <f t="shared" si="62"/>
        <v>13822</v>
      </c>
      <c r="V94" s="9">
        <f t="shared" si="62"/>
        <v>11519</v>
      </c>
      <c r="W94" s="9">
        <f t="shared" si="62"/>
        <v>14125</v>
      </c>
      <c r="X94" s="9">
        <f t="shared" si="62"/>
        <v>19965</v>
      </c>
      <c r="Y94" s="9">
        <f t="shared" si="62"/>
        <v>11561</v>
      </c>
      <c r="Z94" s="9">
        <f t="shared" si="62"/>
        <v>10044</v>
      </c>
      <c r="AA94" s="9">
        <f t="shared" si="62"/>
        <v>13686</v>
      </c>
      <c r="AB94" s="9">
        <f t="shared" si="62"/>
        <v>22236</v>
      </c>
      <c r="AC94" s="9">
        <f t="shared" si="62"/>
        <v>11249</v>
      </c>
      <c r="AD94" s="9">
        <f t="shared" si="62"/>
        <v>11253</v>
      </c>
      <c r="AE94" s="9">
        <f t="shared" si="62"/>
        <v>12673</v>
      </c>
      <c r="AF94" s="9">
        <f t="shared" si="62"/>
        <v>28755</v>
      </c>
      <c r="AG94" s="9">
        <f t="shared" si="62"/>
        <v>23630</v>
      </c>
      <c r="AH94" s="9">
        <f t="shared" si="62"/>
        <v>21744</v>
      </c>
      <c r="AI94" s="9">
        <f t="shared" si="62"/>
        <v>20551</v>
      </c>
    </row>
    <row r="95" spans="1:35" x14ac:dyDescent="0.2">
      <c r="B95" t="s">
        <v>86</v>
      </c>
      <c r="C95">
        <v>10157</v>
      </c>
      <c r="D95">
        <v>10903</v>
      </c>
      <c r="E95">
        <v>12547</v>
      </c>
      <c r="F95">
        <v>11056</v>
      </c>
      <c r="G95">
        <v>11284</v>
      </c>
      <c r="H95">
        <v>2697</v>
      </c>
      <c r="I95">
        <v>2737</v>
      </c>
      <c r="J95">
        <v>2805</v>
      </c>
      <c r="L95" s="62">
        <f>L85</f>
        <v>22725.328709999998</v>
      </c>
      <c r="M95" s="45"/>
      <c r="P95">
        <v>2987</v>
      </c>
      <c r="Q95">
        <v>2332</v>
      </c>
      <c r="R95">
        <v>2354</v>
      </c>
      <c r="S95">
        <v>2484</v>
      </c>
      <c r="T95">
        <v>2745</v>
      </c>
      <c r="U95">
        <v>2739</v>
      </c>
      <c r="V95">
        <v>2665</v>
      </c>
      <c r="W95">
        <v>2754</v>
      </c>
      <c r="X95">
        <v>3395</v>
      </c>
      <c r="Y95">
        <v>3040</v>
      </c>
      <c r="Z95">
        <v>2933</v>
      </c>
      <c r="AA95">
        <v>3179</v>
      </c>
      <c r="AB95">
        <v>2816</v>
      </c>
      <c r="AC95">
        <v>2786</v>
      </c>
      <c r="AD95">
        <v>2752</v>
      </c>
      <c r="AE95">
        <v>2702</v>
      </c>
      <c r="AF95">
        <v>2666</v>
      </c>
      <c r="AG95">
        <v>2797</v>
      </c>
      <c r="AH95">
        <v>2832</v>
      </c>
      <c r="AI95">
        <v>2989</v>
      </c>
    </row>
    <row r="96" spans="1:35" s="10" customFormat="1" x14ac:dyDescent="0.2">
      <c r="B96" s="12" t="s">
        <v>15</v>
      </c>
      <c r="C96" s="12">
        <v>-154</v>
      </c>
      <c r="D96" s="12">
        <v>38490</v>
      </c>
      <c r="E96" s="12">
        <v>-4700</v>
      </c>
      <c r="F96" s="12">
        <v>8916</v>
      </c>
      <c r="G96" s="12">
        <v>5799</v>
      </c>
      <c r="H96" s="12">
        <v>4236</v>
      </c>
      <c r="I96" s="12">
        <v>-2348</v>
      </c>
      <c r="J96" s="12">
        <v>-1902</v>
      </c>
      <c r="K96" s="12"/>
      <c r="L96" s="100">
        <v>5000</v>
      </c>
      <c r="P96" s="12">
        <v>1946</v>
      </c>
      <c r="Q96" s="12">
        <v>-1630</v>
      </c>
      <c r="R96" s="12">
        <v>-2792</v>
      </c>
      <c r="S96" s="12">
        <v>2322</v>
      </c>
      <c r="T96" s="12">
        <v>37549</v>
      </c>
      <c r="U96" s="12">
        <v>1609</v>
      </c>
      <c r="V96" s="12">
        <v>-2149</v>
      </c>
      <c r="W96" s="12">
        <v>1481</v>
      </c>
      <c r="X96" s="12">
        <v>570</v>
      </c>
      <c r="Y96" s="12">
        <v>-3843</v>
      </c>
      <c r="Z96" s="12">
        <v>-5480</v>
      </c>
      <c r="AA96" s="12">
        <v>4053</v>
      </c>
      <c r="AB96" s="12">
        <v>5514</v>
      </c>
      <c r="AC96" s="12">
        <v>1986</v>
      </c>
      <c r="AD96" s="12">
        <v>-3633</v>
      </c>
      <c r="AE96" s="12">
        <v>5049</v>
      </c>
      <c r="AF96" s="12">
        <v>7959</v>
      </c>
      <c r="AG96" s="12">
        <v>-4914</v>
      </c>
      <c r="AH96" s="12">
        <v>-2582</v>
      </c>
      <c r="AI96" s="12">
        <v>5336</v>
      </c>
    </row>
    <row r="97" spans="1:35" x14ac:dyDescent="0.2">
      <c r="B97" s="1" t="s">
        <v>9</v>
      </c>
      <c r="C97" s="1">
        <v>-2093</v>
      </c>
      <c r="D97" s="1">
        <v>-5322</v>
      </c>
      <c r="E97" s="1">
        <v>245</v>
      </c>
      <c r="F97" s="1">
        <v>6917</v>
      </c>
      <c r="G97" s="1">
        <v>-10125</v>
      </c>
      <c r="H97" s="1">
        <v>-3934</v>
      </c>
      <c r="I97" s="1">
        <v>9476</v>
      </c>
      <c r="J97" s="1">
        <v>-981</v>
      </c>
      <c r="K97" s="1"/>
      <c r="L97" s="56">
        <f>-10000</f>
        <v>-10000</v>
      </c>
      <c r="P97" s="1">
        <v>1697</v>
      </c>
      <c r="Q97" s="1">
        <v>2486</v>
      </c>
      <c r="R97" s="1">
        <v>-802</v>
      </c>
      <c r="S97" s="1">
        <v>-5474</v>
      </c>
      <c r="T97" s="1">
        <v>-5570</v>
      </c>
      <c r="U97" s="1">
        <v>9093</v>
      </c>
      <c r="V97" s="1">
        <v>233</v>
      </c>
      <c r="W97" s="1">
        <v>-9078</v>
      </c>
      <c r="X97" s="1">
        <v>5130</v>
      </c>
      <c r="Y97" s="1">
        <v>2964</v>
      </c>
      <c r="Z97" s="1">
        <v>919</v>
      </c>
      <c r="AA97" s="1">
        <v>-8768</v>
      </c>
      <c r="AB97" s="1">
        <v>2015</v>
      </c>
      <c r="AC97" s="1">
        <v>5269</v>
      </c>
      <c r="AD97" s="1">
        <v>-2135</v>
      </c>
      <c r="AE97" s="1">
        <v>1768</v>
      </c>
      <c r="AF97" s="1">
        <v>-10945</v>
      </c>
      <c r="AG97" s="1">
        <v>8598</v>
      </c>
      <c r="AH97" s="1">
        <v>1031</v>
      </c>
      <c r="AI97" s="1">
        <v>-8809</v>
      </c>
    </row>
    <row r="98" spans="1:35" x14ac:dyDescent="0.2">
      <c r="B98" s="1" t="s">
        <v>11</v>
      </c>
      <c r="C98" s="1">
        <v>-4254</v>
      </c>
      <c r="D98" s="1">
        <v>-8010</v>
      </c>
      <c r="E98" s="1">
        <v>2931</v>
      </c>
      <c r="F98" s="1">
        <v>1553</v>
      </c>
      <c r="G98" s="1">
        <v>-3903</v>
      </c>
      <c r="H98" s="1">
        <v>-9812</v>
      </c>
      <c r="I98" s="1">
        <v>10455</v>
      </c>
      <c r="J98" s="1">
        <v>4146</v>
      </c>
      <c r="K98" s="1"/>
      <c r="L98" s="56">
        <v>15000</v>
      </c>
      <c r="P98" s="1">
        <v>-375</v>
      </c>
      <c r="Q98" s="1">
        <v>4887</v>
      </c>
      <c r="R98" s="1">
        <v>-1200</v>
      </c>
      <c r="S98" s="1">
        <v>-7566</v>
      </c>
      <c r="T98" s="1">
        <v>-9660</v>
      </c>
      <c r="U98" s="1">
        <v>19375</v>
      </c>
      <c r="V98" s="1">
        <v>-4179</v>
      </c>
      <c r="W98" s="1">
        <v>-13546</v>
      </c>
      <c r="X98" s="1">
        <v>6905</v>
      </c>
      <c r="Y98" s="1">
        <v>7711</v>
      </c>
      <c r="Z98" s="1">
        <v>-1133</v>
      </c>
      <c r="AA98" s="1">
        <v>-10552</v>
      </c>
      <c r="AB98" s="1">
        <v>3902</v>
      </c>
      <c r="AC98" s="1">
        <v>4021</v>
      </c>
      <c r="AD98" s="1">
        <v>762</v>
      </c>
      <c r="AE98" s="1">
        <v>-7132</v>
      </c>
      <c r="AF98" s="1">
        <v>-10194</v>
      </c>
      <c r="AG98" s="1">
        <v>16986</v>
      </c>
      <c r="AH98" s="1">
        <v>-1900</v>
      </c>
      <c r="AI98" s="1">
        <v>-8795</v>
      </c>
    </row>
    <row r="99" spans="1:35" x14ac:dyDescent="0.2">
      <c r="B99" s="1" t="s">
        <v>10</v>
      </c>
      <c r="C99" s="1">
        <v>-2723</v>
      </c>
      <c r="D99" s="1">
        <v>828</v>
      </c>
      <c r="E99" s="1">
        <v>-289</v>
      </c>
      <c r="F99" s="1">
        <v>-127</v>
      </c>
      <c r="G99" s="1">
        <v>-2642</v>
      </c>
      <c r="H99" s="1">
        <v>681</v>
      </c>
      <c r="I99" s="1">
        <v>384</v>
      </c>
      <c r="J99" s="1">
        <v>-16</v>
      </c>
      <c r="K99" s="1"/>
      <c r="L99" s="56">
        <v>10000</v>
      </c>
      <c r="P99" s="1">
        <v>-580</v>
      </c>
      <c r="Q99" s="1">
        <v>-198</v>
      </c>
      <c r="R99" s="1">
        <v>-236</v>
      </c>
      <c r="S99" s="1">
        <v>-1709</v>
      </c>
      <c r="T99" s="1">
        <v>434</v>
      </c>
      <c r="U99" s="1">
        <v>-3241</v>
      </c>
      <c r="V99" s="1">
        <v>1693</v>
      </c>
      <c r="W99" s="1">
        <v>1942</v>
      </c>
      <c r="X99" s="1">
        <v>-1076</v>
      </c>
      <c r="Y99" s="1">
        <v>70</v>
      </c>
      <c r="Z99" s="1">
        <v>1502</v>
      </c>
      <c r="AA99" s="1">
        <v>-785</v>
      </c>
      <c r="AB99" s="1">
        <v>-28</v>
      </c>
      <c r="AC99" s="1">
        <v>727</v>
      </c>
      <c r="AD99" s="1">
        <v>-689</v>
      </c>
      <c r="AE99" s="1">
        <v>-137</v>
      </c>
      <c r="AF99" s="1">
        <v>-950</v>
      </c>
      <c r="AG99" s="1">
        <v>-276</v>
      </c>
      <c r="AH99" s="1">
        <v>13</v>
      </c>
      <c r="AI99" s="1">
        <v>-1429</v>
      </c>
    </row>
    <row r="100" spans="1:35" x14ac:dyDescent="0.2">
      <c r="B100" s="1" t="s">
        <v>13</v>
      </c>
      <c r="C100" s="1">
        <v>9618</v>
      </c>
      <c r="D100" s="1">
        <v>9175</v>
      </c>
      <c r="E100" s="1">
        <v>-1923</v>
      </c>
      <c r="F100" s="1">
        <v>-4062</v>
      </c>
      <c r="G100" s="1">
        <v>12326</v>
      </c>
      <c r="H100" s="1">
        <v>19813</v>
      </c>
      <c r="I100" s="1">
        <v>-21563</v>
      </c>
      <c r="J100" s="1">
        <v>-4358</v>
      </c>
      <c r="K100" s="1"/>
      <c r="L100" s="56">
        <v>-6000</v>
      </c>
      <c r="P100" s="1">
        <v>2460</v>
      </c>
      <c r="Q100" s="1">
        <v>-9322</v>
      </c>
      <c r="R100" s="1">
        <v>1650</v>
      </c>
      <c r="S100" s="1">
        <v>14830</v>
      </c>
      <c r="T100" s="1">
        <v>14588</v>
      </c>
      <c r="U100" s="1">
        <v>-27808</v>
      </c>
      <c r="V100" s="1">
        <v>2081</v>
      </c>
      <c r="W100" s="1">
        <v>20314</v>
      </c>
      <c r="X100" s="1">
        <v>-8501</v>
      </c>
      <c r="Y100" s="1">
        <v>-11523</v>
      </c>
      <c r="Z100" s="1">
        <v>220</v>
      </c>
      <c r="AA100" s="1">
        <v>17881</v>
      </c>
      <c r="AB100" s="1">
        <v>-1089</v>
      </c>
      <c r="AC100" s="1">
        <v>-12431</v>
      </c>
      <c r="AD100" s="1">
        <v>2733</v>
      </c>
      <c r="AE100" s="1">
        <v>6725</v>
      </c>
      <c r="AF100" s="1">
        <v>21670</v>
      </c>
      <c r="AG100" s="1">
        <v>-23667</v>
      </c>
      <c r="AH100" s="1">
        <v>211</v>
      </c>
      <c r="AI100" s="1">
        <v>14112</v>
      </c>
    </row>
    <row r="101" spans="1:35" ht="15" customHeight="1" x14ac:dyDescent="0.2">
      <c r="B101" s="1" t="s">
        <v>5</v>
      </c>
      <c r="C101" s="1">
        <v>4840</v>
      </c>
      <c r="D101" s="1">
        <v>5340</v>
      </c>
      <c r="E101" s="1">
        <v>6068</v>
      </c>
      <c r="F101" s="1">
        <v>6829</v>
      </c>
      <c r="G101" s="1">
        <v>7906</v>
      </c>
      <c r="H101" s="1">
        <v>2265</v>
      </c>
      <c r="I101" s="1">
        <v>2252</v>
      </c>
      <c r="J101" s="1">
        <v>2243</v>
      </c>
      <c r="K101" s="1"/>
      <c r="L101" s="56">
        <v>10000</v>
      </c>
      <c r="P101" s="1">
        <v>1256</v>
      </c>
      <c r="Q101" s="1">
        <v>1217</v>
      </c>
      <c r="R101" s="1">
        <v>1193</v>
      </c>
      <c r="S101" s="1">
        <v>1174</v>
      </c>
      <c r="T101" s="1">
        <v>1296</v>
      </c>
      <c r="U101" s="1">
        <v>1348</v>
      </c>
      <c r="V101" s="1">
        <v>1351</v>
      </c>
      <c r="W101" s="1">
        <v>1345</v>
      </c>
      <c r="X101" s="1">
        <v>1559</v>
      </c>
      <c r="Y101" s="1">
        <v>1514</v>
      </c>
      <c r="Z101" s="1">
        <v>1496</v>
      </c>
      <c r="AA101" s="1">
        <v>1499</v>
      </c>
      <c r="AB101" s="1">
        <v>1710</v>
      </c>
      <c r="AC101" s="1">
        <v>1697</v>
      </c>
      <c r="AD101" s="1">
        <v>1698</v>
      </c>
      <c r="AE101" s="1">
        <v>1724</v>
      </c>
      <c r="AF101" s="1">
        <v>2020</v>
      </c>
      <c r="AG101" s="1">
        <v>1981</v>
      </c>
      <c r="AH101" s="1">
        <v>1960</v>
      </c>
      <c r="AI101" s="1">
        <v>1945</v>
      </c>
    </row>
    <row r="102" spans="1:35" x14ac:dyDescent="0.2">
      <c r="B102" s="1" t="s">
        <v>14</v>
      </c>
      <c r="C102" s="1">
        <v>-626</v>
      </c>
      <c r="D102" s="1">
        <v>-44</v>
      </c>
      <c r="E102" s="1">
        <v>-625</v>
      </c>
      <c r="F102" s="1">
        <v>2081</v>
      </c>
      <c r="G102" s="1">
        <v>1676</v>
      </c>
      <c r="H102" s="1">
        <v>462</v>
      </c>
      <c r="I102" s="1">
        <v>165</v>
      </c>
      <c r="J102" s="1">
        <v>-367</v>
      </c>
      <c r="K102" s="1"/>
      <c r="L102" s="56">
        <v>0</v>
      </c>
      <c r="P102" s="1">
        <v>42</v>
      </c>
      <c r="Q102" s="1">
        <v>-263</v>
      </c>
      <c r="R102" s="1">
        <v>-197</v>
      </c>
      <c r="S102" s="1">
        <v>-208</v>
      </c>
      <c r="T102" s="1">
        <v>791</v>
      </c>
      <c r="U102" s="1">
        <v>-313</v>
      </c>
      <c r="V102" s="1">
        <v>-581</v>
      </c>
      <c r="W102" s="1">
        <v>59</v>
      </c>
      <c r="X102" s="1">
        <v>-370</v>
      </c>
      <c r="Y102" s="1">
        <v>-170</v>
      </c>
      <c r="Z102" s="1">
        <v>-236</v>
      </c>
      <c r="AA102" s="1">
        <v>151</v>
      </c>
      <c r="AB102" s="1">
        <v>985</v>
      </c>
      <c r="AC102" s="1">
        <v>238</v>
      </c>
      <c r="AD102" s="1">
        <v>426</v>
      </c>
      <c r="AE102" s="1">
        <v>432</v>
      </c>
      <c r="AF102" s="1">
        <v>1341</v>
      </c>
      <c r="AG102" s="1">
        <v>301</v>
      </c>
      <c r="AH102" s="1">
        <v>96</v>
      </c>
      <c r="AI102" s="1">
        <v>-62</v>
      </c>
    </row>
    <row r="103" spans="1:35" s="10" customFormat="1" x14ac:dyDescent="0.2">
      <c r="B103" s="12" t="s">
        <v>87</v>
      </c>
      <c r="C103" s="12">
        <f>SUM(C96:C102)</f>
        <v>4608</v>
      </c>
      <c r="D103" s="12">
        <f t="shared" ref="D103:L103" si="63">SUM(D96:D102)</f>
        <v>40457</v>
      </c>
      <c r="E103" s="12">
        <f t="shared" si="63"/>
        <v>1707</v>
      </c>
      <c r="F103" s="12">
        <f t="shared" si="63"/>
        <v>22107</v>
      </c>
      <c r="G103" s="12">
        <f t="shared" si="63"/>
        <v>11037</v>
      </c>
      <c r="H103" s="12">
        <f t="shared" si="63"/>
        <v>13711</v>
      </c>
      <c r="I103" s="12">
        <f t="shared" si="63"/>
        <v>-1179</v>
      </c>
      <c r="J103" s="12">
        <f t="shared" si="63"/>
        <v>-1235</v>
      </c>
      <c r="K103" s="12"/>
      <c r="L103" s="98">
        <f t="shared" si="63"/>
        <v>24000</v>
      </c>
      <c r="M103" s="12"/>
      <c r="N103" s="12"/>
      <c r="O103" s="12"/>
      <c r="P103" s="12">
        <f t="shared" ref="P103" si="64">SUM(P96:P102)</f>
        <v>6446</v>
      </c>
      <c r="Q103" s="12">
        <f t="shared" ref="Q103" si="65">SUM(Q96:Q102)</f>
        <v>-2823</v>
      </c>
      <c r="R103" s="12">
        <f t="shared" ref="R103" si="66">SUM(R96:R102)</f>
        <v>-2384</v>
      </c>
      <c r="S103" s="12">
        <f t="shared" ref="S103" si="67">SUM(S96:S102)</f>
        <v>3369</v>
      </c>
      <c r="T103" s="12">
        <f t="shared" ref="T103:U103" si="68">SUM(T96:T102)</f>
        <v>39428</v>
      </c>
      <c r="U103" s="12">
        <f t="shared" si="68"/>
        <v>63</v>
      </c>
      <c r="V103" s="12">
        <f t="shared" ref="V103" si="69">SUM(V96:V102)</f>
        <v>-1551</v>
      </c>
      <c r="W103" s="12">
        <f t="shared" ref="W103" si="70">SUM(W96:W102)</f>
        <v>2517</v>
      </c>
      <c r="X103" s="12">
        <f t="shared" ref="X103" si="71">SUM(X96:X102)</f>
        <v>4217</v>
      </c>
      <c r="Y103" s="12">
        <f t="shared" ref="Y103" si="72">SUM(Y96:Y102)</f>
        <v>-3277</v>
      </c>
      <c r="Z103" s="12">
        <f t="shared" ref="Z103" si="73">SUM(Z96:Z102)</f>
        <v>-2712</v>
      </c>
      <c r="AA103" s="12">
        <f t="shared" ref="AA103" si="74">SUM(AA96:AA102)</f>
        <v>3479</v>
      </c>
      <c r="AB103" s="12">
        <f t="shared" ref="AB103" si="75">SUM(AB96:AB102)</f>
        <v>13009</v>
      </c>
      <c r="AC103" s="12">
        <f t="shared" ref="AC103:AD103" si="76">SUM(AC96:AC102)</f>
        <v>1507</v>
      </c>
      <c r="AD103" s="12">
        <f t="shared" si="76"/>
        <v>-838</v>
      </c>
      <c r="AE103" s="12">
        <f t="shared" ref="AE103" si="77">SUM(AE96:AE102)</f>
        <v>8429</v>
      </c>
      <c r="AF103" s="12">
        <f t="shared" ref="AF103" si="78">SUM(AF96:AF102)</f>
        <v>10901</v>
      </c>
      <c r="AG103" s="12">
        <f t="shared" ref="AG103" si="79">SUM(AG96:AG102)</f>
        <v>-991</v>
      </c>
      <c r="AH103" s="12">
        <f t="shared" ref="AH103" si="80">SUM(AH96:AH102)</f>
        <v>-1171</v>
      </c>
      <c r="AI103" s="12">
        <f t="shared" ref="AI103" si="81">SUM(AI96:AI102)</f>
        <v>2298</v>
      </c>
    </row>
    <row r="104" spans="1:35" s="9" customFormat="1" x14ac:dyDescent="0.2">
      <c r="B104" s="13" t="s">
        <v>95</v>
      </c>
      <c r="C104" s="13">
        <v>5966</v>
      </c>
      <c r="D104" s="13">
        <v>-32590</v>
      </c>
      <c r="E104" s="13">
        <v>-340</v>
      </c>
      <c r="F104" s="13">
        <v>-215</v>
      </c>
      <c r="G104" s="13">
        <v>-4774</v>
      </c>
      <c r="H104" s="13">
        <v>682</v>
      </c>
      <c r="I104" s="13">
        <v>406</v>
      </c>
      <c r="J104" s="13">
        <v>1668</v>
      </c>
      <c r="L104" s="95">
        <v>4000</v>
      </c>
      <c r="P104" s="13">
        <v>1452</v>
      </c>
      <c r="Q104" s="13">
        <v>1370</v>
      </c>
      <c r="R104" s="13">
        <v>1942</v>
      </c>
      <c r="S104" s="13">
        <v>1202</v>
      </c>
      <c r="T104" s="13">
        <v>-33737</v>
      </c>
      <c r="U104" s="13">
        <v>-498</v>
      </c>
      <c r="V104" s="13">
        <v>1126</v>
      </c>
      <c r="W104" s="13">
        <v>519</v>
      </c>
      <c r="X104" s="13">
        <v>53</v>
      </c>
      <c r="Y104" s="13">
        <v>-177</v>
      </c>
      <c r="Z104" s="13">
        <v>86</v>
      </c>
      <c r="AA104" s="13">
        <v>-302</v>
      </c>
      <c r="AB104" s="13">
        <v>-349</v>
      </c>
      <c r="AC104" s="13">
        <v>-302</v>
      </c>
      <c r="AD104" s="13">
        <v>833</v>
      </c>
      <c r="AE104" s="13">
        <v>-397</v>
      </c>
      <c r="AF104" s="13">
        <v>-58</v>
      </c>
      <c r="AG104" s="13">
        <v>-149</v>
      </c>
      <c r="AH104" s="13">
        <v>-530</v>
      </c>
      <c r="AI104" s="13">
        <v>-4037</v>
      </c>
    </row>
    <row r="105" spans="1:35" s="9" customFormat="1" x14ac:dyDescent="0.2">
      <c r="B105" s="13" t="s">
        <v>100</v>
      </c>
      <c r="C105" s="13">
        <v>-5484</v>
      </c>
      <c r="D105" s="13">
        <v>-867</v>
      </c>
      <c r="E105" s="13">
        <v>221</v>
      </c>
      <c r="F105" s="13">
        <v>-9685</v>
      </c>
      <c r="G105" s="13">
        <v>-8189</v>
      </c>
      <c r="H105" s="13">
        <v>-4754</v>
      </c>
      <c r="I105" s="13">
        <v>1192</v>
      </c>
      <c r="J105" s="13">
        <v>212</v>
      </c>
      <c r="K105" s="13"/>
      <c r="L105" s="62">
        <v>-10000</v>
      </c>
      <c r="P105" s="13">
        <v>-1720</v>
      </c>
      <c r="Q105" s="13">
        <v>615</v>
      </c>
      <c r="R105" s="13">
        <v>-2266</v>
      </c>
      <c r="S105" s="13">
        <v>-2113</v>
      </c>
      <c r="T105" s="13">
        <v>-208</v>
      </c>
      <c r="U105" s="13">
        <v>-996</v>
      </c>
      <c r="V105" s="13">
        <v>729</v>
      </c>
      <c r="W105" s="13">
        <v>-392</v>
      </c>
      <c r="X105" s="13">
        <v>-940</v>
      </c>
      <c r="Y105" s="13">
        <v>8</v>
      </c>
      <c r="Z105" s="13">
        <v>1285</v>
      </c>
      <c r="AA105" s="13">
        <v>-132</v>
      </c>
      <c r="AB105" s="13">
        <v>-7196</v>
      </c>
      <c r="AC105" s="13">
        <v>-1929</v>
      </c>
      <c r="AD105" s="13">
        <v>2271</v>
      </c>
      <c r="AE105" s="13">
        <v>-2831</v>
      </c>
      <c r="AF105" s="13">
        <v>-3501</v>
      </c>
      <c r="AG105" s="13">
        <v>-1306</v>
      </c>
      <c r="AH105" s="13">
        <v>-1781</v>
      </c>
      <c r="AI105" s="13">
        <v>-1601</v>
      </c>
    </row>
    <row r="106" spans="1:35" s="10" customFormat="1" x14ac:dyDescent="0.2">
      <c r="B106" s="12" t="s">
        <v>279</v>
      </c>
      <c r="C106" s="12">
        <f>C121-C120-C113</f>
        <v>63598</v>
      </c>
      <c r="D106" s="12">
        <f>D121-D120-D113</f>
        <v>77434</v>
      </c>
      <c r="E106" s="12">
        <f>E121-E120-E113</f>
        <v>69391</v>
      </c>
      <c r="F106" s="12">
        <f>F121-F120-F113</f>
        <v>80674</v>
      </c>
      <c r="G106" s="12">
        <f>G121-G120-G113</f>
        <v>104038</v>
      </c>
      <c r="H106" s="12">
        <f>H121-H120-H113</f>
        <v>46966</v>
      </c>
      <c r="I106" s="12">
        <f>I121-I120-I113</f>
        <v>28166</v>
      </c>
      <c r="J106" s="12">
        <f>J121-J120-J113</f>
        <v>22892</v>
      </c>
      <c r="K106" s="12"/>
      <c r="L106" s="99">
        <f>L94+L95+SUM(L103:L105)</f>
        <v>139401.75312000001</v>
      </c>
      <c r="P106" s="12">
        <f>P121-P120-P113</f>
        <v>27056</v>
      </c>
      <c r="Q106" s="12">
        <f t="shared" ref="Q106:AI106" si="82">Q121-Q120-Q113</f>
        <v>12523</v>
      </c>
      <c r="R106" s="12">
        <f t="shared" si="82"/>
        <v>8363</v>
      </c>
      <c r="S106" s="12">
        <f t="shared" si="82"/>
        <v>15656</v>
      </c>
      <c r="T106" s="12">
        <f t="shared" si="82"/>
        <v>28293</v>
      </c>
      <c r="U106" s="12">
        <f t="shared" si="82"/>
        <v>15130</v>
      </c>
      <c r="V106" s="12">
        <f t="shared" si="82"/>
        <v>14488</v>
      </c>
      <c r="W106" s="12">
        <f t="shared" si="82"/>
        <v>19523</v>
      </c>
      <c r="X106" s="12">
        <f t="shared" si="82"/>
        <v>26690</v>
      </c>
      <c r="Y106" s="12">
        <f t="shared" si="82"/>
        <v>11155</v>
      </c>
      <c r="Z106" s="12">
        <f t="shared" si="82"/>
        <v>11636</v>
      </c>
      <c r="AA106" s="12">
        <f t="shared" si="82"/>
        <v>19910</v>
      </c>
      <c r="AB106" s="12">
        <f t="shared" si="82"/>
        <v>30516</v>
      </c>
      <c r="AC106" s="12">
        <f t="shared" si="82"/>
        <v>13311</v>
      </c>
      <c r="AD106" s="12">
        <f t="shared" si="82"/>
        <v>16271</v>
      </c>
      <c r="AE106" s="12">
        <f t="shared" si="82"/>
        <v>20576</v>
      </c>
      <c r="AF106" s="12">
        <f t="shared" si="82"/>
        <v>38763</v>
      </c>
      <c r="AG106" s="12">
        <f t="shared" si="82"/>
        <v>23981</v>
      </c>
      <c r="AH106" s="12">
        <f t="shared" si="82"/>
        <v>21094</v>
      </c>
      <c r="AI106" s="12">
        <f t="shared" si="82"/>
        <v>20200</v>
      </c>
    </row>
    <row r="107" spans="1:35" s="9" customFormat="1" x14ac:dyDescent="0.2">
      <c r="A107" s="9" t="s">
        <v>285</v>
      </c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60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</row>
    <row r="108" spans="1:35" s="9" customFormat="1" x14ac:dyDescent="0.2">
      <c r="B108" s="9" t="s">
        <v>88</v>
      </c>
      <c r="C108" s="9">
        <v>-12451</v>
      </c>
      <c r="D108" s="9">
        <v>-13313</v>
      </c>
      <c r="E108" s="9">
        <v>-10495</v>
      </c>
      <c r="F108" s="9">
        <v>-7309</v>
      </c>
      <c r="G108" s="9">
        <v>-11085</v>
      </c>
      <c r="H108" s="9">
        <v>-2803</v>
      </c>
      <c r="I108" s="9">
        <v>-2514</v>
      </c>
      <c r="J108" s="9">
        <v>-2102</v>
      </c>
      <c r="L108" s="56">
        <v>-1500</v>
      </c>
      <c r="P108" s="9">
        <v>-3334</v>
      </c>
      <c r="Q108" s="9">
        <v>-2975</v>
      </c>
      <c r="R108" s="9">
        <v>-2277</v>
      </c>
      <c r="S108" s="9">
        <v>-3865</v>
      </c>
      <c r="T108" s="9">
        <v>-2810</v>
      </c>
      <c r="U108" s="9">
        <v>-4195</v>
      </c>
      <c r="V108" s="9">
        <v>-3267</v>
      </c>
      <c r="W108" s="9">
        <v>-3041</v>
      </c>
      <c r="X108" s="9">
        <v>-3355</v>
      </c>
      <c r="Y108" s="9">
        <v>-2363</v>
      </c>
      <c r="Z108" s="9">
        <v>-2000</v>
      </c>
      <c r="AA108" s="9">
        <v>-2777</v>
      </c>
      <c r="AB108" s="9">
        <v>-2107</v>
      </c>
      <c r="AC108" s="9">
        <v>-1853</v>
      </c>
      <c r="AD108" s="9">
        <v>-1565</v>
      </c>
      <c r="AE108" s="9">
        <v>-1784</v>
      </c>
      <c r="AF108" s="9">
        <v>-3500</v>
      </c>
      <c r="AG108" s="9">
        <v>-2269</v>
      </c>
      <c r="AH108" s="9">
        <v>-2093</v>
      </c>
      <c r="AI108" s="9">
        <v>-3223</v>
      </c>
    </row>
    <row r="109" spans="1:35" x14ac:dyDescent="0.2">
      <c r="B109" t="s">
        <v>101</v>
      </c>
      <c r="C109">
        <v>-1068</v>
      </c>
      <c r="D109">
        <v>-721</v>
      </c>
      <c r="E109">
        <v>-624</v>
      </c>
      <c r="F109">
        <v>-1524</v>
      </c>
      <c r="G109">
        <v>-33</v>
      </c>
      <c r="H109">
        <v>0</v>
      </c>
      <c r="I109">
        <v>-167</v>
      </c>
      <c r="J109">
        <v>-2</v>
      </c>
      <c r="L109" s="56">
        <f>-200</f>
        <v>-200</v>
      </c>
      <c r="P109">
        <v>-103</v>
      </c>
      <c r="Q109">
        <v>-90</v>
      </c>
      <c r="R109">
        <v>-351</v>
      </c>
      <c r="S109">
        <v>-524</v>
      </c>
      <c r="T109">
        <v>-421</v>
      </c>
      <c r="U109">
        <v>116</v>
      </c>
      <c r="V109">
        <v>-126</v>
      </c>
      <c r="W109">
        <v>-290</v>
      </c>
      <c r="X109">
        <v>-167</v>
      </c>
      <c r="Y109">
        <v>-124</v>
      </c>
      <c r="Z109">
        <v>-320</v>
      </c>
      <c r="AA109">
        <v>-13</v>
      </c>
      <c r="AB109">
        <v>-958</v>
      </c>
      <c r="AC109">
        <v>-176</v>
      </c>
      <c r="AD109">
        <v>-339</v>
      </c>
      <c r="AE109">
        <v>-51</v>
      </c>
      <c r="AF109">
        <v>-9</v>
      </c>
      <c r="AG109">
        <v>0</v>
      </c>
      <c r="AH109">
        <v>-4</v>
      </c>
      <c r="AI109">
        <v>-20</v>
      </c>
    </row>
    <row r="110" spans="1:35" x14ac:dyDescent="0.2">
      <c r="B110" t="s">
        <v>280</v>
      </c>
      <c r="C110">
        <v>-33147</v>
      </c>
      <c r="D110">
        <v>32363</v>
      </c>
      <c r="E110">
        <v>57460</v>
      </c>
      <c r="F110">
        <v>5453</v>
      </c>
      <c r="G110">
        <v>-3075</v>
      </c>
      <c r="H110">
        <v>-12929</v>
      </c>
      <c r="I110">
        <v>-6390</v>
      </c>
      <c r="J110">
        <v>6953</v>
      </c>
      <c r="L110" s="56">
        <v>-15000</v>
      </c>
      <c r="P110">
        <v>-15581</v>
      </c>
      <c r="Q110">
        <v>-11357</v>
      </c>
      <c r="R110">
        <v>-749</v>
      </c>
      <c r="S110">
        <v>-5460</v>
      </c>
      <c r="T110">
        <v>-10423</v>
      </c>
      <c r="U110">
        <v>32800</v>
      </c>
      <c r="V110">
        <v>9394</v>
      </c>
      <c r="W110">
        <v>592</v>
      </c>
      <c r="X110">
        <v>9849</v>
      </c>
      <c r="Y110">
        <v>15812</v>
      </c>
      <c r="Z110">
        <v>28736</v>
      </c>
      <c r="AA110">
        <v>3063</v>
      </c>
      <c r="AB110">
        <v>-10396</v>
      </c>
      <c r="AC110">
        <v>11407</v>
      </c>
      <c r="AD110">
        <v>-2992</v>
      </c>
      <c r="AE110">
        <v>7434</v>
      </c>
      <c r="AF110">
        <v>-5279</v>
      </c>
      <c r="AG110">
        <v>-7895</v>
      </c>
      <c r="AH110">
        <v>5747</v>
      </c>
      <c r="AI110">
        <v>4352</v>
      </c>
    </row>
    <row r="111" spans="1:35" x14ac:dyDescent="0.2">
      <c r="B111" t="s">
        <v>281</v>
      </c>
      <c r="C111">
        <v>0</v>
      </c>
      <c r="D111">
        <v>-1518</v>
      </c>
      <c r="E111">
        <v>633</v>
      </c>
      <c r="F111">
        <v>-118</v>
      </c>
      <c r="G111">
        <v>256</v>
      </c>
      <c r="H111">
        <v>0</v>
      </c>
      <c r="I111">
        <v>0</v>
      </c>
      <c r="J111">
        <v>0</v>
      </c>
      <c r="L111" s="56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-1478</v>
      </c>
      <c r="W111">
        <v>-40</v>
      </c>
      <c r="X111">
        <v>-427</v>
      </c>
      <c r="Y111">
        <v>-63</v>
      </c>
      <c r="Z111">
        <v>1384</v>
      </c>
      <c r="AA111">
        <v>-261</v>
      </c>
      <c r="AB111">
        <v>-77</v>
      </c>
      <c r="AC111">
        <v>-69</v>
      </c>
      <c r="AD111">
        <v>-6</v>
      </c>
      <c r="AE111">
        <v>34</v>
      </c>
      <c r="AF111">
        <v>0</v>
      </c>
      <c r="AG111">
        <v>0</v>
      </c>
      <c r="AH111">
        <v>0</v>
      </c>
      <c r="AI111">
        <v>256</v>
      </c>
    </row>
    <row r="112" spans="1:35" s="9" customFormat="1" x14ac:dyDescent="0.2">
      <c r="B112" s="9" t="s">
        <v>102</v>
      </c>
      <c r="C112" s="9">
        <v>220</v>
      </c>
      <c r="D112" s="9">
        <v>-745</v>
      </c>
      <c r="E112" s="9">
        <v>-1078</v>
      </c>
      <c r="F112" s="9">
        <v>-791</v>
      </c>
      <c r="G112" s="9">
        <v>-608</v>
      </c>
      <c r="H112" s="9">
        <v>-374</v>
      </c>
      <c r="I112" s="9">
        <v>-194</v>
      </c>
      <c r="J112" s="9">
        <v>-615</v>
      </c>
      <c r="L112" s="56">
        <v>-13000</v>
      </c>
      <c r="P112" s="9">
        <v>-104</v>
      </c>
      <c r="Q112" s="9">
        <v>220</v>
      </c>
      <c r="R112" s="9">
        <v>197</v>
      </c>
      <c r="S112" s="9">
        <v>-93</v>
      </c>
      <c r="T112" s="9">
        <v>64</v>
      </c>
      <c r="U112" s="9">
        <v>-11</v>
      </c>
      <c r="V112" s="9">
        <v>-576</v>
      </c>
      <c r="W112" s="9">
        <v>-222</v>
      </c>
      <c r="X112" s="9">
        <v>-56</v>
      </c>
      <c r="Y112" s="9">
        <v>86</v>
      </c>
      <c r="Z112" s="9">
        <v>-298</v>
      </c>
      <c r="AA112" s="9">
        <v>-810</v>
      </c>
      <c r="AB112" s="9">
        <v>-130</v>
      </c>
      <c r="AC112" s="9">
        <v>-296</v>
      </c>
      <c r="AD112" s="9">
        <v>-263</v>
      </c>
      <c r="AE112" s="9">
        <v>-102</v>
      </c>
      <c r="AF112" s="9">
        <v>204</v>
      </c>
      <c r="AG112" s="9">
        <v>-204</v>
      </c>
      <c r="AH112" s="9">
        <v>-78</v>
      </c>
      <c r="AI112" s="9">
        <v>-530</v>
      </c>
    </row>
    <row r="113" spans="1:35" s="9" customFormat="1" x14ac:dyDescent="0.2">
      <c r="B113" s="11" t="s">
        <v>285</v>
      </c>
      <c r="C113" s="9">
        <f>SUM(C108:C112)</f>
        <v>-46446</v>
      </c>
      <c r="D113" s="9">
        <f>SUM(D108:D112)</f>
        <v>16066</v>
      </c>
      <c r="E113" s="9">
        <f>SUM(E108:E112)</f>
        <v>45896</v>
      </c>
      <c r="F113" s="9">
        <f>SUM(F108:F112)</f>
        <v>-4289</v>
      </c>
      <c r="G113" s="9">
        <f>SUM(G108:G112)</f>
        <v>-14545</v>
      </c>
      <c r="H113" s="9">
        <f>SUM(H108:H112)</f>
        <v>-16106</v>
      </c>
      <c r="I113" s="9">
        <f>SUM(I108:I112)</f>
        <v>-9265</v>
      </c>
      <c r="J113" s="9">
        <f>SUM(J108:J112)</f>
        <v>4234</v>
      </c>
      <c r="L113" s="95">
        <f>SUM(L108:L112)</f>
        <v>-29700</v>
      </c>
      <c r="M113" s="72"/>
      <c r="P113" s="9">
        <f>SUM(P108:P112)</f>
        <v>-19122</v>
      </c>
      <c r="Q113" s="9">
        <f t="shared" ref="Q113:AI113" si="83">SUM(Q108:Q112)</f>
        <v>-14202</v>
      </c>
      <c r="R113" s="9">
        <f t="shared" si="83"/>
        <v>-3180</v>
      </c>
      <c r="S113" s="9">
        <f t="shared" si="83"/>
        <v>-9942</v>
      </c>
      <c r="T113" s="9">
        <f t="shared" si="83"/>
        <v>-13590</v>
      </c>
      <c r="U113" s="9">
        <f t="shared" si="83"/>
        <v>28710</v>
      </c>
      <c r="V113" s="9">
        <f t="shared" si="83"/>
        <v>3947</v>
      </c>
      <c r="W113" s="9">
        <f t="shared" si="83"/>
        <v>-3001</v>
      </c>
      <c r="X113" s="9">
        <f t="shared" si="83"/>
        <v>5844</v>
      </c>
      <c r="Y113" s="9">
        <f t="shared" si="83"/>
        <v>13348</v>
      </c>
      <c r="Z113" s="9">
        <f t="shared" si="83"/>
        <v>27502</v>
      </c>
      <c r="AA113" s="9">
        <f t="shared" si="83"/>
        <v>-798</v>
      </c>
      <c r="AB113" s="9">
        <f t="shared" si="83"/>
        <v>-13668</v>
      </c>
      <c r="AC113" s="9">
        <f t="shared" si="83"/>
        <v>9013</v>
      </c>
      <c r="AD113" s="9">
        <f t="shared" si="83"/>
        <v>-5165</v>
      </c>
      <c r="AE113" s="9">
        <f t="shared" si="83"/>
        <v>5531</v>
      </c>
      <c r="AF113" s="9">
        <f t="shared" si="83"/>
        <v>-8584</v>
      </c>
      <c r="AG113" s="9">
        <f t="shared" si="83"/>
        <v>-10368</v>
      </c>
      <c r="AH113" s="9">
        <f t="shared" si="83"/>
        <v>3572</v>
      </c>
      <c r="AI113" s="9">
        <f t="shared" si="83"/>
        <v>835</v>
      </c>
    </row>
    <row r="114" spans="1:35" s="10" customFormat="1" x14ac:dyDescent="0.2">
      <c r="A114" s="10" t="s">
        <v>90</v>
      </c>
      <c r="B114" s="85"/>
      <c r="L114" s="48"/>
    </row>
    <row r="115" spans="1:35" s="9" customFormat="1" x14ac:dyDescent="0.2">
      <c r="B115" s="9" t="s">
        <v>98</v>
      </c>
      <c r="C115" s="9">
        <v>3852</v>
      </c>
      <c r="D115" s="9">
        <v>-37</v>
      </c>
      <c r="E115" s="9">
        <v>-5977</v>
      </c>
      <c r="F115" s="9">
        <v>-963</v>
      </c>
      <c r="G115" s="9">
        <v>1022</v>
      </c>
      <c r="H115" s="9">
        <v>-1000</v>
      </c>
      <c r="I115" s="9">
        <v>1999</v>
      </c>
      <c r="J115" s="9">
        <v>3971</v>
      </c>
      <c r="L115" s="95">
        <v>6000</v>
      </c>
      <c r="P115" s="9">
        <v>2385</v>
      </c>
      <c r="Q115" s="9">
        <v>-506</v>
      </c>
      <c r="R115" s="9">
        <v>1987</v>
      </c>
      <c r="S115" s="9">
        <v>-14</v>
      </c>
      <c r="T115" s="9">
        <v>2</v>
      </c>
      <c r="U115" s="9">
        <v>-1</v>
      </c>
      <c r="V115" s="9">
        <v>-11</v>
      </c>
      <c r="W115" s="9">
        <v>-27</v>
      </c>
      <c r="X115" s="9">
        <v>6</v>
      </c>
      <c r="Y115" s="9">
        <v>-6</v>
      </c>
      <c r="Z115" s="9">
        <v>-2026</v>
      </c>
      <c r="AA115" s="9">
        <v>-3951</v>
      </c>
      <c r="AB115" s="9">
        <v>-979</v>
      </c>
      <c r="AC115" s="9">
        <v>2497</v>
      </c>
      <c r="AD115" s="9">
        <v>-1487</v>
      </c>
      <c r="AE115" s="9">
        <v>-994</v>
      </c>
      <c r="AF115" s="9">
        <v>22</v>
      </c>
      <c r="AG115" s="9">
        <v>0</v>
      </c>
      <c r="AH115" s="9">
        <v>3000</v>
      </c>
      <c r="AI115" s="9">
        <v>-2000</v>
      </c>
    </row>
    <row r="116" spans="1:35" s="9" customFormat="1" x14ac:dyDescent="0.2">
      <c r="B116" s="9" t="s">
        <v>283</v>
      </c>
      <c r="C116" s="9">
        <v>25162</v>
      </c>
      <c r="D116" s="9">
        <v>469</v>
      </c>
      <c r="E116" s="9">
        <v>-1842</v>
      </c>
      <c r="F116" s="9">
        <v>3462</v>
      </c>
      <c r="G116" s="9">
        <v>11643</v>
      </c>
      <c r="H116" s="9">
        <v>0</v>
      </c>
      <c r="I116" s="9">
        <v>-3750</v>
      </c>
      <c r="J116" s="9">
        <v>-3000</v>
      </c>
      <c r="L116" s="95">
        <v>-5000</v>
      </c>
      <c r="P116" s="9">
        <v>0</v>
      </c>
      <c r="Q116" s="9">
        <v>10975</v>
      </c>
      <c r="R116" s="9">
        <v>7250</v>
      </c>
      <c r="S116" s="9">
        <v>6937</v>
      </c>
      <c r="T116" s="9">
        <v>6969</v>
      </c>
      <c r="U116" s="9">
        <v>-500</v>
      </c>
      <c r="V116" s="9">
        <v>-6000</v>
      </c>
      <c r="W116" s="9">
        <v>0</v>
      </c>
      <c r="X116" s="9">
        <v>0</v>
      </c>
      <c r="Y116" s="9">
        <v>-2500</v>
      </c>
      <c r="Z116" s="9">
        <v>-3000</v>
      </c>
      <c r="AA116" s="9">
        <v>3658</v>
      </c>
      <c r="AB116" s="9">
        <v>1210</v>
      </c>
      <c r="AC116" s="9">
        <v>-4250</v>
      </c>
      <c r="AD116" s="9">
        <v>1046</v>
      </c>
      <c r="AE116" s="9">
        <v>5456</v>
      </c>
      <c r="AF116" s="9">
        <v>-1000</v>
      </c>
      <c r="AG116" s="9">
        <v>10423</v>
      </c>
      <c r="AH116" s="9">
        <v>-3000</v>
      </c>
      <c r="AI116" s="9">
        <v>5220</v>
      </c>
    </row>
    <row r="117" spans="1:35" x14ac:dyDescent="0.2">
      <c r="B117" t="s">
        <v>91</v>
      </c>
      <c r="C117">
        <v>-12769</v>
      </c>
      <c r="D117">
        <v>-13712</v>
      </c>
      <c r="E117">
        <v>-14119</v>
      </c>
      <c r="F117">
        <v>-14081</v>
      </c>
      <c r="G117">
        <v>-14467</v>
      </c>
      <c r="H117">
        <v>-3732</v>
      </c>
      <c r="I117">
        <v>-3595</v>
      </c>
      <c r="J117">
        <v>-3811</v>
      </c>
      <c r="L117" s="56">
        <v>-20000</v>
      </c>
      <c r="P117">
        <v>-3130</v>
      </c>
      <c r="Q117">
        <v>-3004</v>
      </c>
      <c r="R117">
        <v>-3365</v>
      </c>
      <c r="S117">
        <v>-3270</v>
      </c>
      <c r="T117">
        <v>-3339</v>
      </c>
      <c r="U117">
        <v>-3190</v>
      </c>
      <c r="V117">
        <v>-3653</v>
      </c>
      <c r="W117">
        <v>-3530</v>
      </c>
      <c r="X117">
        <v>-3568</v>
      </c>
      <c r="Y117">
        <v>-3443</v>
      </c>
      <c r="Z117">
        <v>-3629</v>
      </c>
      <c r="AA117">
        <v>-3479</v>
      </c>
      <c r="AB117">
        <v>-3539</v>
      </c>
      <c r="AC117">
        <v>-3375</v>
      </c>
      <c r="AD117">
        <v>-3656</v>
      </c>
      <c r="AE117">
        <v>-3511</v>
      </c>
      <c r="AF117">
        <v>-3613</v>
      </c>
      <c r="AG117">
        <v>-3447</v>
      </c>
      <c r="AH117">
        <v>-3767</v>
      </c>
      <c r="AI117">
        <v>-3640</v>
      </c>
    </row>
    <row r="118" spans="1:35" x14ac:dyDescent="0.2">
      <c r="B118" t="s">
        <v>92</v>
      </c>
      <c r="C118">
        <v>-33592</v>
      </c>
      <c r="D118">
        <v>-74596</v>
      </c>
      <c r="E118">
        <v>-68933</v>
      </c>
      <c r="F118">
        <v>-75112</v>
      </c>
      <c r="G118">
        <v>-91422</v>
      </c>
      <c r="H118">
        <v>-23366</v>
      </c>
      <c r="I118">
        <v>-22961</v>
      </c>
      <c r="J118">
        <v>-24562</v>
      </c>
      <c r="L118" s="56">
        <v>-10000</v>
      </c>
      <c r="P118">
        <v>-11302</v>
      </c>
      <c r="Q118">
        <v>-7000</v>
      </c>
      <c r="R118">
        <v>-7641</v>
      </c>
      <c r="S118">
        <v>-7649</v>
      </c>
      <c r="T118">
        <v>-11133</v>
      </c>
      <c r="U118">
        <v>-22581</v>
      </c>
      <c r="V118">
        <v>-21859</v>
      </c>
      <c r="W118">
        <v>-19023</v>
      </c>
      <c r="X118">
        <v>-10114</v>
      </c>
      <c r="Y118">
        <v>-23421</v>
      </c>
      <c r="Z118">
        <v>-18153</v>
      </c>
      <c r="AA118">
        <v>-17245</v>
      </c>
      <c r="AB118">
        <v>-22083</v>
      </c>
      <c r="AC118">
        <v>-15777</v>
      </c>
      <c r="AD118">
        <v>-14950</v>
      </c>
      <c r="AE118">
        <v>-22302</v>
      </c>
      <c r="AF118">
        <v>-27636</v>
      </c>
      <c r="AG118">
        <v>-18286</v>
      </c>
      <c r="AH118">
        <v>-25595</v>
      </c>
      <c r="AI118">
        <v>-19905</v>
      </c>
    </row>
    <row r="119" spans="1:35" s="9" customFormat="1" x14ac:dyDescent="0.2">
      <c r="B119" s="9" t="s">
        <v>114</v>
      </c>
      <c r="C119" s="9">
        <v>0</v>
      </c>
      <c r="D119" s="9">
        <v>0</v>
      </c>
      <c r="E119" s="9">
        <v>-105</v>
      </c>
      <c r="F119" s="9">
        <v>-126</v>
      </c>
      <c r="G119" s="9">
        <v>-129</v>
      </c>
      <c r="H119" s="9">
        <v>-61</v>
      </c>
      <c r="I119" s="9">
        <v>-44</v>
      </c>
      <c r="J119" s="9">
        <v>-43</v>
      </c>
      <c r="L119" s="56">
        <v>-150</v>
      </c>
      <c r="P119" s="9">
        <v>0</v>
      </c>
      <c r="Q119" s="9">
        <v>0</v>
      </c>
      <c r="R119" s="9">
        <v>0</v>
      </c>
      <c r="S119" s="9">
        <v>0</v>
      </c>
      <c r="T119" s="9">
        <v>0</v>
      </c>
      <c r="U119" s="9">
        <v>0</v>
      </c>
      <c r="V119" s="9">
        <v>0</v>
      </c>
      <c r="W119" s="9">
        <v>0</v>
      </c>
      <c r="X119" s="9">
        <v>0</v>
      </c>
      <c r="Y119" s="9">
        <v>-87</v>
      </c>
      <c r="Z119" s="9">
        <v>4</v>
      </c>
      <c r="AA119" s="9">
        <v>-22</v>
      </c>
      <c r="AB119" s="9">
        <v>-16</v>
      </c>
      <c r="AC119" s="9">
        <v>-35</v>
      </c>
      <c r="AD119" s="9">
        <v>-69</v>
      </c>
      <c r="AE119" s="9">
        <v>-6</v>
      </c>
      <c r="AF119" s="9">
        <v>-22</v>
      </c>
      <c r="AG119" s="9">
        <v>-16</v>
      </c>
      <c r="AH119" s="9">
        <v>-34</v>
      </c>
      <c r="AI119" s="9">
        <v>-57</v>
      </c>
    </row>
    <row r="120" spans="1:35" s="9" customFormat="1" x14ac:dyDescent="0.2">
      <c r="B120" s="11" t="s">
        <v>90</v>
      </c>
      <c r="C120" s="9">
        <f>SUM(C115:C119)</f>
        <v>-17347</v>
      </c>
      <c r="D120" s="9">
        <f>SUM(D115:D119)</f>
        <v>-87876</v>
      </c>
      <c r="E120" s="9">
        <f>SUM(E115:E119)</f>
        <v>-90976</v>
      </c>
      <c r="F120" s="9">
        <f>SUM(F115:F119)</f>
        <v>-86820</v>
      </c>
      <c r="G120" s="9">
        <f>SUM(G115:G119)</f>
        <v>-93353</v>
      </c>
      <c r="H120" s="9">
        <f>SUM(H115:H119)</f>
        <v>-28159</v>
      </c>
      <c r="I120" s="9">
        <f>SUM(I115:I119)</f>
        <v>-28351</v>
      </c>
      <c r="J120" s="9">
        <f>SUM(J115:J119)</f>
        <v>-27445</v>
      </c>
      <c r="L120" s="96">
        <f t="shared" ref="K120:L120" si="84">SUM(L115:L119)</f>
        <v>-29150</v>
      </c>
      <c r="P120" s="9">
        <f>SUM(P115:P119)</f>
        <v>-12047</v>
      </c>
      <c r="Q120" s="9">
        <f t="shared" ref="Q120:AI120" si="85">SUM(Q115:Q119)</f>
        <v>465</v>
      </c>
      <c r="R120" s="9">
        <f t="shared" si="85"/>
        <v>-1769</v>
      </c>
      <c r="S120" s="9">
        <f t="shared" si="85"/>
        <v>-3996</v>
      </c>
      <c r="T120" s="9">
        <f t="shared" si="85"/>
        <v>-7501</v>
      </c>
      <c r="U120" s="9">
        <f t="shared" si="85"/>
        <v>-26272</v>
      </c>
      <c r="V120" s="9">
        <f t="shared" si="85"/>
        <v>-31523</v>
      </c>
      <c r="W120" s="9">
        <f t="shared" si="85"/>
        <v>-22580</v>
      </c>
      <c r="X120" s="9">
        <f t="shared" si="85"/>
        <v>-13676</v>
      </c>
      <c r="Y120" s="9">
        <f t="shared" si="85"/>
        <v>-29457</v>
      </c>
      <c r="Z120" s="9">
        <f t="shared" si="85"/>
        <v>-26804</v>
      </c>
      <c r="AA120" s="9">
        <f t="shared" si="85"/>
        <v>-21039</v>
      </c>
      <c r="AB120" s="9">
        <f t="shared" si="85"/>
        <v>-25407</v>
      </c>
      <c r="AC120" s="9">
        <f t="shared" si="85"/>
        <v>-20940</v>
      </c>
      <c r="AD120" s="9">
        <f t="shared" si="85"/>
        <v>-19116</v>
      </c>
      <c r="AE120" s="9">
        <f t="shared" si="85"/>
        <v>-21357</v>
      </c>
      <c r="AF120" s="9">
        <f t="shared" si="85"/>
        <v>-32249</v>
      </c>
      <c r="AG120" s="9">
        <f t="shared" si="85"/>
        <v>-11326</v>
      </c>
      <c r="AH120" s="9">
        <f t="shared" si="85"/>
        <v>-29396</v>
      </c>
      <c r="AI120" s="9">
        <f t="shared" si="85"/>
        <v>-20382</v>
      </c>
    </row>
    <row r="121" spans="1:35" s="10" customFormat="1" x14ac:dyDescent="0.2">
      <c r="B121" s="10" t="s">
        <v>151</v>
      </c>
      <c r="C121" s="10">
        <v>-195</v>
      </c>
      <c r="D121" s="10">
        <v>5624</v>
      </c>
      <c r="E121" s="10">
        <v>24311</v>
      </c>
      <c r="F121" s="10">
        <v>-10435</v>
      </c>
      <c r="G121" s="10">
        <v>-3860</v>
      </c>
      <c r="H121" s="10">
        <v>2701</v>
      </c>
      <c r="I121" s="10">
        <v>-9450</v>
      </c>
      <c r="J121" s="10">
        <v>-319</v>
      </c>
      <c r="L121" s="99">
        <f>L106+L113+L120</f>
        <v>80551.753120000008</v>
      </c>
      <c r="P121" s="10">
        <v>-4113</v>
      </c>
      <c r="Q121" s="10">
        <v>-1214</v>
      </c>
      <c r="R121" s="10">
        <v>3414</v>
      </c>
      <c r="S121" s="10">
        <v>1718</v>
      </c>
      <c r="T121" s="10">
        <v>7202</v>
      </c>
      <c r="U121" s="10">
        <v>17568</v>
      </c>
      <c r="V121" s="10">
        <v>-13088</v>
      </c>
      <c r="W121" s="10">
        <v>-6058</v>
      </c>
      <c r="X121" s="10">
        <v>18858</v>
      </c>
      <c r="Y121" s="10">
        <v>-4954</v>
      </c>
      <c r="Z121" s="10">
        <v>12334</v>
      </c>
      <c r="AA121" s="10">
        <v>-1927</v>
      </c>
      <c r="AB121" s="10">
        <v>-8559</v>
      </c>
      <c r="AC121" s="10">
        <v>1384</v>
      </c>
      <c r="AD121" s="10">
        <v>-8010</v>
      </c>
      <c r="AE121" s="10">
        <v>4750</v>
      </c>
      <c r="AF121" s="10">
        <v>-2070</v>
      </c>
      <c r="AG121" s="10">
        <v>2287</v>
      </c>
      <c r="AH121" s="10">
        <v>-4730</v>
      </c>
      <c r="AI121" s="10">
        <v>653</v>
      </c>
    </row>
    <row r="122" spans="1:35" s="9" customFormat="1" x14ac:dyDescent="0.2">
      <c r="L122" s="96"/>
    </row>
    <row r="123" spans="1:35" s="9" customFormat="1" x14ac:dyDescent="0.2">
      <c r="L123" s="96"/>
    </row>
    <row r="124" spans="1:35" x14ac:dyDescent="0.2">
      <c r="L124" s="62"/>
    </row>
    <row r="125" spans="1:35" x14ac:dyDescent="0.2">
      <c r="B125" t="s">
        <v>82</v>
      </c>
      <c r="C125">
        <f>C127+C126</f>
        <v>229234</v>
      </c>
      <c r="D125">
        <f>D127+D126</f>
        <v>265595</v>
      </c>
      <c r="E125">
        <f>E127+E126</f>
        <v>260174</v>
      </c>
      <c r="F125">
        <f>F127+F126</f>
        <v>274515</v>
      </c>
      <c r="G125">
        <f>G127+G126</f>
        <v>365817</v>
      </c>
      <c r="H125">
        <f>H127+H126</f>
        <v>123945</v>
      </c>
      <c r="I125">
        <f>I127+I126</f>
        <v>97278</v>
      </c>
      <c r="J125">
        <f>J127+J126</f>
        <v>82959</v>
      </c>
      <c r="L125" s="62">
        <f t="shared" ref="K125:L125" si="86">L127+L126</f>
        <v>378755.47849999997</v>
      </c>
      <c r="M125">
        <f t="shared" ref="K125:M125" si="87">M127+M126</f>
        <v>0</v>
      </c>
      <c r="P125">
        <f>P127+P126</f>
        <v>78351</v>
      </c>
      <c r="Q125">
        <f t="shared" ref="Q125:AI125" si="88">Q127+Q126</f>
        <v>52896</v>
      </c>
      <c r="R125">
        <f t="shared" si="88"/>
        <v>45408</v>
      </c>
      <c r="S125">
        <f t="shared" si="88"/>
        <v>52579</v>
      </c>
      <c r="T125">
        <f t="shared" si="88"/>
        <v>88293</v>
      </c>
      <c r="U125">
        <f t="shared" si="88"/>
        <v>61137</v>
      </c>
      <c r="V125">
        <f t="shared" si="88"/>
        <v>53265</v>
      </c>
      <c r="W125">
        <f>W127+W126</f>
        <v>62900</v>
      </c>
      <c r="X125">
        <f t="shared" si="88"/>
        <v>84310</v>
      </c>
      <c r="Y125">
        <f t="shared" si="88"/>
        <v>58015</v>
      </c>
      <c r="Z125">
        <f t="shared" si="88"/>
        <v>53809</v>
      </c>
      <c r="AA125">
        <f t="shared" si="88"/>
        <v>64040</v>
      </c>
      <c r="AB125">
        <f t="shared" si="88"/>
        <v>91819</v>
      </c>
      <c r="AC125">
        <f>AC127+AC126</f>
        <v>58313</v>
      </c>
      <c r="AD125">
        <f>AD127+AD126</f>
        <v>59685</v>
      </c>
      <c r="AE125">
        <f t="shared" si="88"/>
        <v>64698</v>
      </c>
      <c r="AF125">
        <f t="shared" si="88"/>
        <v>111439</v>
      </c>
      <c r="AG125">
        <f t="shared" si="88"/>
        <v>89584</v>
      </c>
      <c r="AH125">
        <f t="shared" si="88"/>
        <v>81434</v>
      </c>
      <c r="AI125">
        <f t="shared" si="88"/>
        <v>83360</v>
      </c>
    </row>
    <row r="126" spans="1:35" x14ac:dyDescent="0.2">
      <c r="B126" t="s">
        <v>79</v>
      </c>
      <c r="C126">
        <f>C77</f>
        <v>141048</v>
      </c>
      <c r="D126">
        <f>D77</f>
        <v>163756</v>
      </c>
      <c r="E126">
        <f>E77</f>
        <v>161782</v>
      </c>
      <c r="F126">
        <f>F77</f>
        <v>169559</v>
      </c>
      <c r="G126">
        <f>G77</f>
        <v>212981</v>
      </c>
      <c r="H126">
        <f>H77</f>
        <v>69702</v>
      </c>
      <c r="I126">
        <f>I77</f>
        <v>54719</v>
      </c>
      <c r="J126">
        <f>J77</f>
        <v>47074</v>
      </c>
      <c r="L126" s="62">
        <f t="shared" ref="K126:L126" si="89">L77</f>
        <v>219678.17752999996</v>
      </c>
      <c r="M126">
        <f>M77</f>
        <v>0</v>
      </c>
      <c r="P126">
        <f>P77</f>
        <v>48175</v>
      </c>
      <c r="Q126">
        <f t="shared" ref="Q126:AI126" si="90">Q77</f>
        <v>32305</v>
      </c>
      <c r="R126">
        <f t="shared" si="90"/>
        <v>27920</v>
      </c>
      <c r="S126">
        <f t="shared" si="90"/>
        <v>32648</v>
      </c>
      <c r="T126">
        <f t="shared" si="90"/>
        <v>54381</v>
      </c>
      <c r="U126">
        <f t="shared" si="90"/>
        <v>37715</v>
      </c>
      <c r="V126">
        <f t="shared" si="90"/>
        <v>32844</v>
      </c>
      <c r="W126">
        <f t="shared" si="90"/>
        <v>38816</v>
      </c>
      <c r="X126">
        <f t="shared" si="90"/>
        <v>52279</v>
      </c>
      <c r="Y126">
        <f t="shared" si="90"/>
        <v>36194</v>
      </c>
      <c r="Z126">
        <f t="shared" si="90"/>
        <v>33582</v>
      </c>
      <c r="AA126">
        <f t="shared" si="90"/>
        <v>39727</v>
      </c>
      <c r="AB126">
        <f t="shared" si="90"/>
        <v>56602</v>
      </c>
      <c r="AC126">
        <f t="shared" si="90"/>
        <v>35943</v>
      </c>
      <c r="AD126">
        <f t="shared" si="90"/>
        <v>37005</v>
      </c>
      <c r="AE126">
        <f t="shared" si="90"/>
        <v>40009</v>
      </c>
      <c r="AF126">
        <f t="shared" si="90"/>
        <v>67111</v>
      </c>
      <c r="AG126">
        <f t="shared" si="90"/>
        <v>51505</v>
      </c>
      <c r="AH126">
        <f t="shared" si="90"/>
        <v>46179</v>
      </c>
      <c r="AI126">
        <f t="shared" si="90"/>
        <v>48186</v>
      </c>
    </row>
    <row r="127" spans="1:35" s="10" customFormat="1" x14ac:dyDescent="0.2">
      <c r="B127" s="10" t="s">
        <v>80</v>
      </c>
      <c r="C127" s="10">
        <f>C129+C128</f>
        <v>88186</v>
      </c>
      <c r="D127" s="10">
        <f>D129+D128</f>
        <v>101839</v>
      </c>
      <c r="E127" s="10">
        <f>E129+E128</f>
        <v>98392</v>
      </c>
      <c r="F127" s="10">
        <f>F129+F128</f>
        <v>104956</v>
      </c>
      <c r="G127" s="10">
        <f>G129+G128</f>
        <v>152836</v>
      </c>
      <c r="H127" s="10">
        <f>H129+H128</f>
        <v>54243</v>
      </c>
      <c r="I127" s="10">
        <f>I129+I128</f>
        <v>42559</v>
      </c>
      <c r="J127" s="10">
        <f>J129+J128</f>
        <v>35885</v>
      </c>
      <c r="L127" s="99">
        <f t="shared" ref="K127:L127" si="91">L129+L128</f>
        <v>159077.30097000001</v>
      </c>
      <c r="M127" s="10">
        <f t="shared" ref="K127:M127" si="92">M129+M128</f>
        <v>0</v>
      </c>
      <c r="P127" s="10">
        <f>P129+P128</f>
        <v>30176</v>
      </c>
      <c r="Q127" s="10">
        <f t="shared" ref="Q127:AB127" si="93">Q129+Q128</f>
        <v>20591</v>
      </c>
      <c r="R127" s="10">
        <f t="shared" si="93"/>
        <v>17488</v>
      </c>
      <c r="S127" s="10">
        <f t="shared" si="93"/>
        <v>19931</v>
      </c>
      <c r="T127" s="10">
        <f t="shared" si="93"/>
        <v>33912</v>
      </c>
      <c r="U127" s="10">
        <f t="shared" si="93"/>
        <v>23422</v>
      </c>
      <c r="V127" s="10">
        <f t="shared" si="93"/>
        <v>20421</v>
      </c>
      <c r="W127" s="10">
        <f t="shared" si="93"/>
        <v>24084</v>
      </c>
      <c r="X127" s="10">
        <f t="shared" si="93"/>
        <v>32031</v>
      </c>
      <c r="Y127" s="10">
        <f t="shared" si="93"/>
        <v>21821</v>
      </c>
      <c r="Z127" s="10">
        <f t="shared" si="93"/>
        <v>20227</v>
      </c>
      <c r="AA127" s="10">
        <f t="shared" si="93"/>
        <v>24313</v>
      </c>
      <c r="AB127" s="10">
        <f t="shared" si="93"/>
        <v>35217</v>
      </c>
      <c r="AC127" s="10">
        <f>AC129+AC128</f>
        <v>22370</v>
      </c>
      <c r="AD127" s="10">
        <f t="shared" ref="AD127:AI127" si="94">AD129+AD128</f>
        <v>22680</v>
      </c>
      <c r="AE127" s="10">
        <f t="shared" si="94"/>
        <v>24689</v>
      </c>
      <c r="AF127" s="10">
        <f t="shared" si="94"/>
        <v>44328</v>
      </c>
      <c r="AG127" s="10">
        <f t="shared" si="94"/>
        <v>38079</v>
      </c>
      <c r="AH127" s="10">
        <f t="shared" si="94"/>
        <v>35255</v>
      </c>
      <c r="AI127" s="10">
        <f t="shared" si="94"/>
        <v>35174</v>
      </c>
    </row>
    <row r="128" spans="1:35" x14ac:dyDescent="0.2">
      <c r="B128" s="11" t="s">
        <v>83</v>
      </c>
      <c r="C128">
        <f>C80</f>
        <v>26842</v>
      </c>
      <c r="D128">
        <f>D80</f>
        <v>30941</v>
      </c>
      <c r="E128">
        <f>E80</f>
        <v>34462</v>
      </c>
      <c r="F128">
        <f>F80</f>
        <v>38668</v>
      </c>
      <c r="G128">
        <f>G80</f>
        <v>43887</v>
      </c>
      <c r="H128">
        <f>H80</f>
        <v>12755</v>
      </c>
      <c r="I128">
        <f>I80</f>
        <v>12580</v>
      </c>
      <c r="J128">
        <f>J80</f>
        <v>12809</v>
      </c>
      <c r="L128" s="62">
        <f t="shared" ref="K128:L128" si="95">L80</f>
        <v>45450.657419999996</v>
      </c>
      <c r="M128">
        <f>M80</f>
        <v>0</v>
      </c>
      <c r="P128">
        <f>P80</f>
        <v>6817</v>
      </c>
      <c r="Q128">
        <f>Q80</f>
        <v>6494</v>
      </c>
      <c r="R128">
        <f>R80</f>
        <v>6720</v>
      </c>
      <c r="S128">
        <f>S80</f>
        <v>6811</v>
      </c>
      <c r="T128">
        <f>T80</f>
        <v>7638</v>
      </c>
      <c r="U128">
        <f>U80</f>
        <v>7528</v>
      </c>
      <c r="V128">
        <f>V80</f>
        <v>7809</v>
      </c>
      <c r="W128">
        <f>W80</f>
        <v>7966</v>
      </c>
      <c r="X128">
        <f>X80</f>
        <v>8685</v>
      </c>
      <c r="Y128">
        <f>Y80</f>
        <v>8406</v>
      </c>
      <c r="Z128">
        <f>Z80</f>
        <v>8683</v>
      </c>
      <c r="AA128">
        <f>AA80</f>
        <v>8688</v>
      </c>
      <c r="AB128">
        <f>AB80</f>
        <v>9648</v>
      </c>
      <c r="AC128">
        <f>AC80</f>
        <v>9517</v>
      </c>
      <c r="AD128">
        <f>AD80</f>
        <v>9589</v>
      </c>
      <c r="AE128">
        <f>AE80</f>
        <v>9914</v>
      </c>
      <c r="AF128">
        <f>AF80</f>
        <v>10794</v>
      </c>
      <c r="AG128">
        <f>AG80</f>
        <v>10576</v>
      </c>
      <c r="AH128">
        <f>AH80</f>
        <v>11129</v>
      </c>
      <c r="AI128">
        <f>AI80</f>
        <v>11388</v>
      </c>
    </row>
    <row r="129" spans="2:35" s="10" customFormat="1" x14ac:dyDescent="0.2">
      <c r="B129" s="10" t="s">
        <v>85</v>
      </c>
      <c r="C129" s="10">
        <f>C131-C130</f>
        <v>61344</v>
      </c>
      <c r="D129" s="10">
        <f>D131-D130</f>
        <v>70898</v>
      </c>
      <c r="E129" s="10">
        <f>E131-E130</f>
        <v>63930</v>
      </c>
      <c r="F129" s="10">
        <f>F131-F130</f>
        <v>66288</v>
      </c>
      <c r="G129" s="10">
        <f>G131-G130</f>
        <v>108949</v>
      </c>
      <c r="H129" s="10">
        <f>H131-H130</f>
        <v>41488</v>
      </c>
      <c r="I129" s="10">
        <f>I131-I130</f>
        <v>29979</v>
      </c>
      <c r="J129" s="10">
        <f>J131-J130</f>
        <v>23076</v>
      </c>
      <c r="L129" s="99">
        <f t="shared" ref="K129:L129" si="96">L131-L130</f>
        <v>113626.64355000001</v>
      </c>
      <c r="M129" s="10">
        <f t="shared" ref="K129:M129" si="97">M131-M130</f>
        <v>0</v>
      </c>
      <c r="P129" s="10">
        <f>P131-P130</f>
        <v>23359</v>
      </c>
      <c r="Q129" s="10">
        <f t="shared" ref="Q129:AI129" si="98">Q131-Q130</f>
        <v>14097</v>
      </c>
      <c r="R129" s="10">
        <f t="shared" si="98"/>
        <v>10768</v>
      </c>
      <c r="S129" s="10">
        <f t="shared" si="98"/>
        <v>13120</v>
      </c>
      <c r="T129" s="10">
        <f t="shared" si="98"/>
        <v>26274</v>
      </c>
      <c r="U129" s="10">
        <f t="shared" si="98"/>
        <v>15894</v>
      </c>
      <c r="V129" s="10">
        <f t="shared" si="98"/>
        <v>12612</v>
      </c>
      <c r="W129" s="10">
        <f t="shared" si="98"/>
        <v>16118</v>
      </c>
      <c r="X129" s="10">
        <f t="shared" si="98"/>
        <v>23346</v>
      </c>
      <c r="Y129" s="10">
        <f t="shared" si="98"/>
        <v>13415</v>
      </c>
      <c r="Z129" s="10">
        <f t="shared" si="98"/>
        <v>11544</v>
      </c>
      <c r="AA129" s="10">
        <f t="shared" si="98"/>
        <v>15625</v>
      </c>
      <c r="AB129" s="10">
        <f t="shared" si="98"/>
        <v>25569</v>
      </c>
      <c r="AC129" s="10">
        <f>AC131-AC130</f>
        <v>12853</v>
      </c>
      <c r="AD129" s="10">
        <f t="shared" si="98"/>
        <v>13091</v>
      </c>
      <c r="AE129" s="10">
        <f t="shared" si="98"/>
        <v>14775</v>
      </c>
      <c r="AF129" s="10">
        <f t="shared" si="98"/>
        <v>33534</v>
      </c>
      <c r="AG129" s="10">
        <f t="shared" si="98"/>
        <v>27503</v>
      </c>
      <c r="AH129" s="10">
        <f t="shared" si="98"/>
        <v>24126</v>
      </c>
      <c r="AI129" s="10">
        <f t="shared" si="98"/>
        <v>23786</v>
      </c>
    </row>
    <row r="130" spans="2:35" x14ac:dyDescent="0.2">
      <c r="B130" t="s">
        <v>86</v>
      </c>
      <c r="C130">
        <f>C85</f>
        <v>10157</v>
      </c>
      <c r="D130">
        <f>D85</f>
        <v>10903</v>
      </c>
      <c r="E130">
        <f>E85</f>
        <v>12547</v>
      </c>
      <c r="F130">
        <f>F85</f>
        <v>11056</v>
      </c>
      <c r="G130">
        <f>G85</f>
        <v>11284</v>
      </c>
      <c r="H130">
        <f>H85</f>
        <v>2697</v>
      </c>
      <c r="I130">
        <f>I85</f>
        <v>2737</v>
      </c>
      <c r="J130">
        <f>J85</f>
        <v>2805</v>
      </c>
      <c r="L130" s="62">
        <f t="shared" ref="K130:L130" si="99">L85</f>
        <v>22725.328709999998</v>
      </c>
      <c r="M130">
        <f>M85</f>
        <v>0</v>
      </c>
      <c r="P130">
        <f>P85</f>
        <v>2987</v>
      </c>
      <c r="Q130">
        <f>Q85</f>
        <v>2332</v>
      </c>
      <c r="R130">
        <f>R85</f>
        <v>2354</v>
      </c>
      <c r="S130">
        <f>S85</f>
        <v>2484</v>
      </c>
      <c r="T130">
        <f>T85</f>
        <v>2745</v>
      </c>
      <c r="U130">
        <f>U85</f>
        <v>2739</v>
      </c>
      <c r="V130">
        <f>V85</f>
        <v>2665</v>
      </c>
      <c r="W130">
        <f>W85</f>
        <v>2754</v>
      </c>
      <c r="X130">
        <f>X85</f>
        <v>3395</v>
      </c>
      <c r="Y130">
        <f>Y85</f>
        <v>3040</v>
      </c>
      <c r="Z130">
        <f>Z85</f>
        <v>2933</v>
      </c>
      <c r="AA130">
        <f>AA85</f>
        <v>3179</v>
      </c>
      <c r="AB130">
        <f>AB85</f>
        <v>2816</v>
      </c>
      <c r="AC130">
        <f>AC85</f>
        <v>2786</v>
      </c>
      <c r="AD130">
        <f>AD85</f>
        <v>2752</v>
      </c>
      <c r="AE130">
        <f>AE85</f>
        <v>2702</v>
      </c>
      <c r="AF130">
        <f>AF85</f>
        <v>2666</v>
      </c>
      <c r="AG130">
        <f>AG85</f>
        <v>2797</v>
      </c>
      <c r="AH130">
        <f>AH85</f>
        <v>2832</v>
      </c>
      <c r="AI130">
        <f>AI85</f>
        <v>2989</v>
      </c>
    </row>
    <row r="131" spans="2:35" s="10" customFormat="1" x14ac:dyDescent="0.2">
      <c r="B131" s="10" t="s">
        <v>81</v>
      </c>
      <c r="C131" s="10">
        <f>C133-C132</f>
        <v>71501</v>
      </c>
      <c r="D131" s="10">
        <f>D133-D132</f>
        <v>81801</v>
      </c>
      <c r="E131" s="10">
        <f>E133-E132</f>
        <v>76477</v>
      </c>
      <c r="F131" s="10">
        <f>F133-F132</f>
        <v>77344</v>
      </c>
      <c r="G131" s="10">
        <f>G133-G132</f>
        <v>120233</v>
      </c>
      <c r="H131" s="10">
        <f>H133-H132</f>
        <v>44185</v>
      </c>
      <c r="I131" s="10">
        <f>I133-I132</f>
        <v>32716</v>
      </c>
      <c r="J131" s="10">
        <f>J133-J132</f>
        <v>25881</v>
      </c>
      <c r="L131" s="99">
        <f t="shared" ref="K131:L131" si="100">L133-L132</f>
        <v>136351.97226000001</v>
      </c>
      <c r="M131" s="10">
        <f t="shared" ref="K131:M131" si="101">M133-M132</f>
        <v>0</v>
      </c>
      <c r="P131" s="10">
        <f>P133-P132</f>
        <v>26346</v>
      </c>
      <c r="Q131" s="10">
        <f t="shared" ref="Q131:AI131" si="102">Q133-Q132</f>
        <v>16429</v>
      </c>
      <c r="R131" s="10">
        <f t="shared" si="102"/>
        <v>13122</v>
      </c>
      <c r="S131" s="10">
        <f t="shared" si="102"/>
        <v>15604</v>
      </c>
      <c r="T131" s="10">
        <f t="shared" si="102"/>
        <v>29019</v>
      </c>
      <c r="U131" s="10">
        <f t="shared" si="102"/>
        <v>18633</v>
      </c>
      <c r="V131" s="10">
        <f t="shared" si="102"/>
        <v>15277</v>
      </c>
      <c r="W131" s="10">
        <f t="shared" si="102"/>
        <v>18872</v>
      </c>
      <c r="X131" s="10">
        <f t="shared" si="102"/>
        <v>26741</v>
      </c>
      <c r="Y131" s="10">
        <f t="shared" si="102"/>
        <v>16455</v>
      </c>
      <c r="Z131" s="10">
        <f t="shared" si="102"/>
        <v>14477</v>
      </c>
      <c r="AA131" s="10">
        <f t="shared" si="102"/>
        <v>18804</v>
      </c>
      <c r="AB131" s="10">
        <f>AB133-AB132</f>
        <v>28385</v>
      </c>
      <c r="AC131" s="10">
        <f>AC133-AC132</f>
        <v>15639</v>
      </c>
      <c r="AD131" s="10">
        <f t="shared" si="102"/>
        <v>15843</v>
      </c>
      <c r="AE131" s="10">
        <f t="shared" si="102"/>
        <v>17477</v>
      </c>
      <c r="AF131" s="10">
        <f t="shared" si="102"/>
        <v>36200</v>
      </c>
      <c r="AG131" s="10">
        <f t="shared" si="102"/>
        <v>30300</v>
      </c>
      <c r="AH131" s="10">
        <f t="shared" si="102"/>
        <v>26958</v>
      </c>
      <c r="AI131" s="10">
        <f t="shared" si="102"/>
        <v>26775</v>
      </c>
    </row>
    <row r="132" spans="2:35" x14ac:dyDescent="0.2">
      <c r="B132" t="s">
        <v>183</v>
      </c>
      <c r="C132">
        <f>C82</f>
        <v>2745</v>
      </c>
      <c r="D132">
        <f>D82</f>
        <v>2005</v>
      </c>
      <c r="E132">
        <f>E82</f>
        <v>1807</v>
      </c>
      <c r="F132">
        <f>F82</f>
        <v>803</v>
      </c>
      <c r="G132">
        <f>G82</f>
        <v>258</v>
      </c>
      <c r="H132">
        <f>H82</f>
        <v>-247</v>
      </c>
      <c r="I132">
        <f>I82</f>
        <v>160</v>
      </c>
      <c r="J132">
        <f>J82</f>
        <v>-10</v>
      </c>
      <c r="L132" s="62">
        <f t="shared" ref="K132:L132" si="103">L82</f>
        <v>200</v>
      </c>
      <c r="M132">
        <f>M82</f>
        <v>0</v>
      </c>
      <c r="P132">
        <f>P82</f>
        <v>821</v>
      </c>
      <c r="Q132">
        <f>Q82</f>
        <v>587</v>
      </c>
      <c r="R132">
        <f>R82</f>
        <v>540</v>
      </c>
      <c r="S132">
        <f>S82</f>
        <v>797</v>
      </c>
      <c r="T132">
        <f>T82</f>
        <v>756</v>
      </c>
      <c r="U132">
        <f>U82</f>
        <v>274</v>
      </c>
      <c r="V132">
        <f>V82</f>
        <v>672</v>
      </c>
      <c r="W132">
        <f>W82</f>
        <v>303</v>
      </c>
      <c r="X132">
        <f>X82</f>
        <v>560</v>
      </c>
      <c r="Y132">
        <f>Y82</f>
        <v>378</v>
      </c>
      <c r="Z132">
        <f>Z82</f>
        <v>367</v>
      </c>
      <c r="AA132">
        <f>AA82</f>
        <v>502</v>
      </c>
      <c r="AB132">
        <f>AB82</f>
        <v>349</v>
      </c>
      <c r="AC132">
        <f>AC82</f>
        <v>282</v>
      </c>
      <c r="AD132">
        <f>AD82</f>
        <v>46</v>
      </c>
      <c r="AE132">
        <f>AE82</f>
        <v>126</v>
      </c>
      <c r="AF132">
        <f>AF82</f>
        <v>45</v>
      </c>
      <c r="AG132">
        <f>AG82</f>
        <v>508</v>
      </c>
      <c r="AH132">
        <f>AH82</f>
        <v>243</v>
      </c>
      <c r="AI132">
        <f>AI82</f>
        <v>-538</v>
      </c>
    </row>
    <row r="133" spans="2:35" s="10" customFormat="1" x14ac:dyDescent="0.2">
      <c r="B133" s="10" t="s">
        <v>99</v>
      </c>
      <c r="C133" s="10">
        <f>C142-SUM(C134:C141)</f>
        <v>74246</v>
      </c>
      <c r="D133" s="10">
        <f>D142-SUM(D134:D141)</f>
        <v>83806</v>
      </c>
      <c r="E133" s="10">
        <f>E142-SUM(E134:E141)</f>
        <v>78284</v>
      </c>
      <c r="F133" s="10">
        <f>F142-SUM(F134:F141)</f>
        <v>78147</v>
      </c>
      <c r="G133" s="10">
        <f>G142-SUM(G134:G141)</f>
        <v>120491</v>
      </c>
      <c r="H133" s="10">
        <f>H142-SUM(H134:H141)</f>
        <v>43938</v>
      </c>
      <c r="I133" s="10">
        <f>I142-SUM(I134:I141)</f>
        <v>32876</v>
      </c>
      <c r="J133" s="10">
        <f>J142-SUM(J134:J141)</f>
        <v>25871</v>
      </c>
      <c r="L133" s="99">
        <f t="shared" ref="K133:L133" si="104">L142-SUM(L134:L141)</f>
        <v>136551.97226000001</v>
      </c>
      <c r="M133" s="10">
        <f>M142-SUM(M134:M141)</f>
        <v>0</v>
      </c>
      <c r="P133" s="10">
        <f>P142-SUM(P134:P141)</f>
        <v>27167</v>
      </c>
      <c r="Q133" s="10">
        <f t="shared" ref="Q133:AA133" si="105">Q142-SUM(Q134:Q141)</f>
        <v>17016</v>
      </c>
      <c r="R133" s="10">
        <f t="shared" si="105"/>
        <v>13662</v>
      </c>
      <c r="S133" s="10">
        <f t="shared" si="105"/>
        <v>16401</v>
      </c>
      <c r="T133" s="10">
        <f t="shared" si="105"/>
        <v>29775</v>
      </c>
      <c r="U133" s="10">
        <f t="shared" si="105"/>
        <v>18907</v>
      </c>
      <c r="V133" s="10">
        <f t="shared" si="105"/>
        <v>15949</v>
      </c>
      <c r="W133" s="10">
        <f>W142-SUM(W134:W141)</f>
        <v>19175</v>
      </c>
      <c r="X133" s="10">
        <f t="shared" si="105"/>
        <v>27301</v>
      </c>
      <c r="Y133" s="10">
        <f t="shared" si="105"/>
        <v>16833</v>
      </c>
      <c r="Z133" s="10">
        <f t="shared" si="105"/>
        <v>14844</v>
      </c>
      <c r="AA133" s="10">
        <f t="shared" si="105"/>
        <v>19306</v>
      </c>
      <c r="AB133" s="10">
        <f>AB142-SUM(AB134:AB141)</f>
        <v>28734</v>
      </c>
      <c r="AC133" s="10">
        <f>AC142-SUM(AC134:AC141)</f>
        <v>15921</v>
      </c>
      <c r="AD133" s="10">
        <f>AD142-SUM(AD134:AD141)</f>
        <v>15889</v>
      </c>
      <c r="AE133" s="10">
        <f t="shared" ref="AE133:AI133" si="106">AE142-SUM(AE134:AE141)</f>
        <v>17603</v>
      </c>
      <c r="AF133" s="10">
        <f t="shared" si="106"/>
        <v>36245</v>
      </c>
      <c r="AG133" s="10">
        <f t="shared" si="106"/>
        <v>30808</v>
      </c>
      <c r="AH133" s="10">
        <f t="shared" si="106"/>
        <v>27201</v>
      </c>
      <c r="AI133" s="10">
        <f t="shared" si="106"/>
        <v>26237</v>
      </c>
    </row>
    <row r="134" spans="2:35" x14ac:dyDescent="0.2">
      <c r="B134" s="11" t="str">
        <f>B103</f>
        <v>less change NWC</v>
      </c>
      <c r="C134" s="11">
        <f>C103</f>
        <v>4608</v>
      </c>
      <c r="D134" s="11">
        <f>D103</f>
        <v>40457</v>
      </c>
      <c r="E134" s="11">
        <f>E103</f>
        <v>1707</v>
      </c>
      <c r="F134" s="11">
        <f>F103</f>
        <v>22107</v>
      </c>
      <c r="G134" s="11">
        <f>G103</f>
        <v>11037</v>
      </c>
      <c r="H134" s="11">
        <f>H103</f>
        <v>13711</v>
      </c>
      <c r="I134" s="11">
        <f>I103</f>
        <v>-1179</v>
      </c>
      <c r="J134" s="11">
        <f>J103</f>
        <v>-1235</v>
      </c>
      <c r="K134" s="11"/>
      <c r="L134" s="74">
        <f t="shared" ref="K134:L134" si="107">L103</f>
        <v>24000</v>
      </c>
      <c r="M134" s="11">
        <f t="shared" ref="K134:M134" si="108">M103</f>
        <v>0</v>
      </c>
      <c r="N134" s="11"/>
      <c r="O134" s="11"/>
      <c r="P134" s="11">
        <f>P103</f>
        <v>6446</v>
      </c>
      <c r="Q134" s="11">
        <f>Q103</f>
        <v>-2823</v>
      </c>
      <c r="R134" s="11">
        <f>R103</f>
        <v>-2384</v>
      </c>
      <c r="S134" s="11">
        <f>S103</f>
        <v>3369</v>
      </c>
      <c r="T134" s="11">
        <f>T103</f>
        <v>39428</v>
      </c>
      <c r="U134" s="11">
        <f>U103</f>
        <v>63</v>
      </c>
      <c r="V134" s="11">
        <f>V103</f>
        <v>-1551</v>
      </c>
      <c r="W134" s="11">
        <f>W103</f>
        <v>2517</v>
      </c>
      <c r="X134" s="11">
        <f>X103</f>
        <v>4217</v>
      </c>
      <c r="Y134" s="11">
        <f>Y103</f>
        <v>-3277</v>
      </c>
      <c r="Z134" s="11">
        <f>Z103</f>
        <v>-2712</v>
      </c>
      <c r="AA134" s="11">
        <f>AA103</f>
        <v>3479</v>
      </c>
      <c r="AB134" s="11">
        <f>AB103</f>
        <v>13009</v>
      </c>
      <c r="AC134" s="11">
        <f>AC103</f>
        <v>1507</v>
      </c>
      <c r="AD134" s="11">
        <f>AD103</f>
        <v>-838</v>
      </c>
      <c r="AE134" s="11">
        <f>AE103</f>
        <v>8429</v>
      </c>
      <c r="AF134" s="11">
        <f>AF103</f>
        <v>10901</v>
      </c>
      <c r="AG134" s="11">
        <f>AG103</f>
        <v>-991</v>
      </c>
      <c r="AH134" s="11">
        <f>AH103</f>
        <v>-1171</v>
      </c>
      <c r="AI134" s="11">
        <f>AI103</f>
        <v>2298</v>
      </c>
    </row>
    <row r="135" spans="2:35" s="9" customFormat="1" x14ac:dyDescent="0.2">
      <c r="B135" s="11" t="str">
        <f>B105</f>
        <v>less Op Other</v>
      </c>
      <c r="C135" s="11">
        <f>C105</f>
        <v>-5484</v>
      </c>
      <c r="D135" s="11">
        <f>D105</f>
        <v>-867</v>
      </c>
      <c r="E135" s="11">
        <f>E105</f>
        <v>221</v>
      </c>
      <c r="F135" s="11">
        <f>F105</f>
        <v>-9685</v>
      </c>
      <c r="G135" s="11">
        <f>G105</f>
        <v>-8189</v>
      </c>
      <c r="H135" s="11">
        <f>H105</f>
        <v>-4754</v>
      </c>
      <c r="I135" s="11">
        <f>I105</f>
        <v>1192</v>
      </c>
      <c r="J135" s="11">
        <f>J105</f>
        <v>212</v>
      </c>
      <c r="K135" s="11"/>
      <c r="L135" s="74">
        <f t="shared" ref="K135:L135" si="109">L105</f>
        <v>-10000</v>
      </c>
      <c r="M135" s="11">
        <f t="shared" ref="K135:M135" si="110">M105</f>
        <v>0</v>
      </c>
      <c r="N135" s="11"/>
      <c r="O135" s="11"/>
      <c r="P135" s="11">
        <f t="shared" ref="P135:AG135" si="111">P105</f>
        <v>-1720</v>
      </c>
      <c r="Q135" s="11">
        <f t="shared" si="111"/>
        <v>615</v>
      </c>
      <c r="R135" s="11">
        <f t="shared" si="111"/>
        <v>-2266</v>
      </c>
      <c r="S135" s="11">
        <f t="shared" si="111"/>
        <v>-2113</v>
      </c>
      <c r="T135" s="11">
        <f t="shared" si="111"/>
        <v>-208</v>
      </c>
      <c r="U135" s="11">
        <f t="shared" si="111"/>
        <v>-996</v>
      </c>
      <c r="V135" s="11">
        <f t="shared" si="111"/>
        <v>729</v>
      </c>
      <c r="W135" s="11">
        <f t="shared" si="111"/>
        <v>-392</v>
      </c>
      <c r="X135" s="11">
        <f t="shared" si="111"/>
        <v>-940</v>
      </c>
      <c r="Y135" s="11">
        <f t="shared" si="111"/>
        <v>8</v>
      </c>
      <c r="Z135" s="11">
        <f t="shared" si="111"/>
        <v>1285</v>
      </c>
      <c r="AA135" s="11">
        <f t="shared" si="111"/>
        <v>-132</v>
      </c>
      <c r="AB135" s="11">
        <f t="shared" si="111"/>
        <v>-7196</v>
      </c>
      <c r="AC135" s="11">
        <f t="shared" si="111"/>
        <v>-1929</v>
      </c>
      <c r="AD135" s="11">
        <f t="shared" si="111"/>
        <v>2271</v>
      </c>
      <c r="AE135" s="11">
        <f t="shared" si="111"/>
        <v>-2831</v>
      </c>
      <c r="AF135" s="11">
        <f t="shared" si="111"/>
        <v>-3501</v>
      </c>
      <c r="AG135" s="11">
        <f t="shared" si="111"/>
        <v>-1306</v>
      </c>
      <c r="AH135" s="11">
        <f>AH105</f>
        <v>-1781</v>
      </c>
      <c r="AI135" s="11">
        <f t="shared" ref="AI135" si="112">AI105</f>
        <v>-1601</v>
      </c>
    </row>
    <row r="136" spans="2:35" s="9" customFormat="1" x14ac:dyDescent="0.2">
      <c r="B136" s="9" t="s">
        <v>88</v>
      </c>
      <c r="C136" s="9">
        <f>C108</f>
        <v>-12451</v>
      </c>
      <c r="D136" s="9">
        <f>D108</f>
        <v>-13313</v>
      </c>
      <c r="E136" s="9">
        <f>E108</f>
        <v>-10495</v>
      </c>
      <c r="F136" s="9">
        <f>F108</f>
        <v>-7309</v>
      </c>
      <c r="G136" s="9">
        <f>G108</f>
        <v>-11085</v>
      </c>
      <c r="H136" s="9">
        <f>H108</f>
        <v>-2803</v>
      </c>
      <c r="I136" s="9">
        <f>I108</f>
        <v>-2514</v>
      </c>
      <c r="J136" s="9">
        <f>J108</f>
        <v>-2102</v>
      </c>
      <c r="L136" s="96">
        <f t="shared" ref="K136:L136" si="113">L108</f>
        <v>-1500</v>
      </c>
      <c r="M136" s="9">
        <f t="shared" ref="K136:M136" si="114">M108</f>
        <v>0</v>
      </c>
      <c r="P136" s="9">
        <f>P108</f>
        <v>-3334</v>
      </c>
      <c r="Q136" s="9">
        <f t="shared" ref="Q136:AI136" si="115">Q108</f>
        <v>-2975</v>
      </c>
      <c r="R136" s="9">
        <f t="shared" si="115"/>
        <v>-2277</v>
      </c>
      <c r="S136" s="9">
        <f t="shared" si="115"/>
        <v>-3865</v>
      </c>
      <c r="T136" s="9">
        <f t="shared" si="115"/>
        <v>-2810</v>
      </c>
      <c r="U136" s="9">
        <f t="shared" si="115"/>
        <v>-4195</v>
      </c>
      <c r="V136" s="9">
        <f t="shared" si="115"/>
        <v>-3267</v>
      </c>
      <c r="W136" s="9">
        <f t="shared" si="115"/>
        <v>-3041</v>
      </c>
      <c r="X136" s="9">
        <f t="shared" si="115"/>
        <v>-3355</v>
      </c>
      <c r="Y136" s="9">
        <f t="shared" si="115"/>
        <v>-2363</v>
      </c>
      <c r="Z136" s="9">
        <f t="shared" si="115"/>
        <v>-2000</v>
      </c>
      <c r="AA136" s="9">
        <f t="shared" si="115"/>
        <v>-2777</v>
      </c>
      <c r="AB136" s="9">
        <f t="shared" si="115"/>
        <v>-2107</v>
      </c>
      <c r="AC136" s="9">
        <f t="shared" si="115"/>
        <v>-1853</v>
      </c>
      <c r="AD136" s="9">
        <f t="shared" si="115"/>
        <v>-1565</v>
      </c>
      <c r="AE136" s="9">
        <f t="shared" si="115"/>
        <v>-1784</v>
      </c>
      <c r="AF136" s="9">
        <f t="shared" si="115"/>
        <v>-3500</v>
      </c>
      <c r="AG136" s="9">
        <f t="shared" si="115"/>
        <v>-2269</v>
      </c>
      <c r="AH136" s="9">
        <f t="shared" si="115"/>
        <v>-2093</v>
      </c>
      <c r="AI136" s="9">
        <f t="shared" si="115"/>
        <v>-3223</v>
      </c>
    </row>
    <row r="137" spans="2:35" x14ac:dyDescent="0.2">
      <c r="B137" t="s">
        <v>101</v>
      </c>
      <c r="C137" s="9">
        <f>C109</f>
        <v>-1068</v>
      </c>
      <c r="D137" s="9">
        <f>D109</f>
        <v>-721</v>
      </c>
      <c r="E137" s="9">
        <f>E109</f>
        <v>-624</v>
      </c>
      <c r="F137" s="9">
        <f>F109</f>
        <v>-1524</v>
      </c>
      <c r="G137" s="9">
        <f>G109</f>
        <v>-33</v>
      </c>
      <c r="H137" s="9">
        <f>H109</f>
        <v>0</v>
      </c>
      <c r="I137" s="9">
        <f>I109</f>
        <v>-167</v>
      </c>
      <c r="J137" s="9">
        <f>J109</f>
        <v>-2</v>
      </c>
      <c r="K137" s="9"/>
      <c r="L137" s="96">
        <f t="shared" ref="K137:L137" si="116">L109</f>
        <v>-200</v>
      </c>
      <c r="M137" s="9">
        <f>M109</f>
        <v>0</v>
      </c>
      <c r="N137" s="9"/>
      <c r="O137" s="9"/>
      <c r="P137" s="9">
        <f>P109</f>
        <v>-103</v>
      </c>
      <c r="Q137" s="9">
        <f t="shared" ref="Q137:AI137" si="117">Q109</f>
        <v>-90</v>
      </c>
      <c r="R137" s="9">
        <f t="shared" si="117"/>
        <v>-351</v>
      </c>
      <c r="S137" s="9">
        <f t="shared" si="117"/>
        <v>-524</v>
      </c>
      <c r="T137" s="9">
        <f t="shared" si="117"/>
        <v>-421</v>
      </c>
      <c r="U137" s="9">
        <f t="shared" si="117"/>
        <v>116</v>
      </c>
      <c r="V137" s="9">
        <f t="shared" si="117"/>
        <v>-126</v>
      </c>
      <c r="W137" s="9">
        <f t="shared" si="117"/>
        <v>-290</v>
      </c>
      <c r="X137" s="9">
        <f t="shared" si="117"/>
        <v>-167</v>
      </c>
      <c r="Y137" s="9">
        <f t="shared" si="117"/>
        <v>-124</v>
      </c>
      <c r="Z137" s="9">
        <f t="shared" si="117"/>
        <v>-320</v>
      </c>
      <c r="AA137" s="9">
        <f t="shared" si="117"/>
        <v>-13</v>
      </c>
      <c r="AB137" s="9">
        <f t="shared" si="117"/>
        <v>-958</v>
      </c>
      <c r="AC137" s="9">
        <f t="shared" si="117"/>
        <v>-176</v>
      </c>
      <c r="AD137" s="9">
        <f t="shared" si="117"/>
        <v>-339</v>
      </c>
      <c r="AE137" s="9">
        <f t="shared" si="117"/>
        <v>-51</v>
      </c>
      <c r="AF137" s="9">
        <f t="shared" si="117"/>
        <v>-9</v>
      </c>
      <c r="AG137" s="9">
        <f t="shared" si="117"/>
        <v>0</v>
      </c>
      <c r="AH137" s="9">
        <f t="shared" si="117"/>
        <v>-4</v>
      </c>
      <c r="AI137" s="9">
        <f t="shared" si="117"/>
        <v>-20</v>
      </c>
    </row>
    <row r="138" spans="2:35" x14ac:dyDescent="0.2">
      <c r="B138" t="s">
        <v>97</v>
      </c>
      <c r="C138">
        <f>C110</f>
        <v>-33147</v>
      </c>
      <c r="D138">
        <f t="shared" ref="D138:AI138" si="118">D110</f>
        <v>32363</v>
      </c>
      <c r="E138">
        <f t="shared" si="118"/>
        <v>57460</v>
      </c>
      <c r="F138">
        <f t="shared" si="118"/>
        <v>5453</v>
      </c>
      <c r="G138">
        <f t="shared" si="118"/>
        <v>-3075</v>
      </c>
      <c r="H138">
        <f t="shared" si="118"/>
        <v>-12929</v>
      </c>
      <c r="I138">
        <f t="shared" si="118"/>
        <v>-6390</v>
      </c>
      <c r="J138">
        <f t="shared" si="118"/>
        <v>6953</v>
      </c>
      <c r="K138">
        <f t="shared" si="118"/>
        <v>0</v>
      </c>
      <c r="L138">
        <f t="shared" si="118"/>
        <v>-15000</v>
      </c>
      <c r="M138">
        <f t="shared" si="118"/>
        <v>0</v>
      </c>
      <c r="P138">
        <f t="shared" si="118"/>
        <v>-15581</v>
      </c>
      <c r="Q138">
        <f t="shared" si="118"/>
        <v>-11357</v>
      </c>
      <c r="R138">
        <f t="shared" si="118"/>
        <v>-749</v>
      </c>
      <c r="S138">
        <f t="shared" si="118"/>
        <v>-5460</v>
      </c>
      <c r="T138">
        <f t="shared" si="118"/>
        <v>-10423</v>
      </c>
      <c r="U138">
        <f t="shared" si="118"/>
        <v>32800</v>
      </c>
      <c r="V138">
        <f t="shared" si="118"/>
        <v>9394</v>
      </c>
      <c r="W138">
        <f t="shared" si="118"/>
        <v>592</v>
      </c>
      <c r="X138">
        <f t="shared" si="118"/>
        <v>9849</v>
      </c>
      <c r="Y138">
        <f t="shared" si="118"/>
        <v>15812</v>
      </c>
      <c r="Z138">
        <f t="shared" si="118"/>
        <v>28736</v>
      </c>
      <c r="AA138">
        <f t="shared" si="118"/>
        <v>3063</v>
      </c>
      <c r="AB138">
        <f t="shared" si="118"/>
        <v>-10396</v>
      </c>
      <c r="AC138">
        <f t="shared" si="118"/>
        <v>11407</v>
      </c>
      <c r="AD138">
        <f t="shared" si="118"/>
        <v>-2992</v>
      </c>
      <c r="AE138">
        <f t="shared" si="118"/>
        <v>7434</v>
      </c>
      <c r="AF138">
        <f t="shared" si="118"/>
        <v>-5279</v>
      </c>
      <c r="AG138">
        <f t="shared" si="118"/>
        <v>-7895</v>
      </c>
      <c r="AH138">
        <f t="shared" si="118"/>
        <v>5747</v>
      </c>
      <c r="AI138">
        <f t="shared" si="118"/>
        <v>4352</v>
      </c>
    </row>
    <row r="139" spans="2:35" x14ac:dyDescent="0.2">
      <c r="B139" t="s">
        <v>96</v>
      </c>
      <c r="C139">
        <f>C111</f>
        <v>0</v>
      </c>
      <c r="D139">
        <f t="shared" ref="D139:AI139" si="119">D111</f>
        <v>-1518</v>
      </c>
      <c r="E139">
        <f t="shared" si="119"/>
        <v>633</v>
      </c>
      <c r="F139">
        <f t="shared" si="119"/>
        <v>-118</v>
      </c>
      <c r="G139">
        <f t="shared" si="119"/>
        <v>256</v>
      </c>
      <c r="H139">
        <f t="shared" si="119"/>
        <v>0</v>
      </c>
      <c r="I139">
        <f t="shared" si="119"/>
        <v>0</v>
      </c>
      <c r="J139">
        <f t="shared" si="119"/>
        <v>0</v>
      </c>
      <c r="K139">
        <f t="shared" si="119"/>
        <v>0</v>
      </c>
      <c r="L139">
        <f t="shared" si="119"/>
        <v>0</v>
      </c>
      <c r="M139">
        <f t="shared" si="119"/>
        <v>0</v>
      </c>
      <c r="P139">
        <f t="shared" si="119"/>
        <v>0</v>
      </c>
      <c r="Q139">
        <f t="shared" si="119"/>
        <v>0</v>
      </c>
      <c r="R139">
        <f t="shared" si="119"/>
        <v>0</v>
      </c>
      <c r="S139">
        <f t="shared" si="119"/>
        <v>0</v>
      </c>
      <c r="T139">
        <f t="shared" si="119"/>
        <v>0</v>
      </c>
      <c r="U139">
        <f t="shared" si="119"/>
        <v>0</v>
      </c>
      <c r="V139">
        <f t="shared" si="119"/>
        <v>-1478</v>
      </c>
      <c r="W139">
        <f t="shared" si="119"/>
        <v>-40</v>
      </c>
      <c r="X139">
        <f t="shared" si="119"/>
        <v>-427</v>
      </c>
      <c r="Y139">
        <f t="shared" si="119"/>
        <v>-63</v>
      </c>
      <c r="Z139">
        <f t="shared" si="119"/>
        <v>1384</v>
      </c>
      <c r="AA139">
        <f t="shared" si="119"/>
        <v>-261</v>
      </c>
      <c r="AB139">
        <f t="shared" si="119"/>
        <v>-77</v>
      </c>
      <c r="AC139">
        <f t="shared" si="119"/>
        <v>-69</v>
      </c>
      <c r="AD139">
        <f t="shared" si="119"/>
        <v>-6</v>
      </c>
      <c r="AE139">
        <f t="shared" si="119"/>
        <v>34</v>
      </c>
      <c r="AF139">
        <f t="shared" si="119"/>
        <v>0</v>
      </c>
      <c r="AG139">
        <f t="shared" si="119"/>
        <v>0</v>
      </c>
      <c r="AH139">
        <f t="shared" si="119"/>
        <v>0</v>
      </c>
      <c r="AI139">
        <f t="shared" si="119"/>
        <v>256</v>
      </c>
    </row>
    <row r="140" spans="2:35" s="9" customFormat="1" x14ac:dyDescent="0.2">
      <c r="B140" s="9" t="s">
        <v>102</v>
      </c>
      <c r="C140" s="9">
        <f>C112</f>
        <v>220</v>
      </c>
      <c r="D140" s="9">
        <f>D112</f>
        <v>-745</v>
      </c>
      <c r="E140" s="9">
        <f>E112</f>
        <v>-1078</v>
      </c>
      <c r="F140" s="9">
        <f>F112</f>
        <v>-791</v>
      </c>
      <c r="G140" s="9">
        <f>G112</f>
        <v>-608</v>
      </c>
      <c r="H140" s="9">
        <f>H112</f>
        <v>-374</v>
      </c>
      <c r="I140" s="9">
        <f>I112</f>
        <v>-194</v>
      </c>
      <c r="J140" s="9">
        <f>J112</f>
        <v>-615</v>
      </c>
      <c r="L140" s="96">
        <f t="shared" ref="K140:L140" si="120">L112</f>
        <v>-13000</v>
      </c>
      <c r="M140" s="9">
        <f>M112</f>
        <v>0</v>
      </c>
      <c r="P140" s="9">
        <f>P112</f>
        <v>-104</v>
      </c>
      <c r="Q140" s="9">
        <f t="shared" ref="Q140:AI140" si="121">Q112</f>
        <v>220</v>
      </c>
      <c r="R140" s="9">
        <f t="shared" si="121"/>
        <v>197</v>
      </c>
      <c r="S140" s="9">
        <f t="shared" si="121"/>
        <v>-93</v>
      </c>
      <c r="T140" s="9">
        <f t="shared" si="121"/>
        <v>64</v>
      </c>
      <c r="U140" s="9">
        <f t="shared" si="121"/>
        <v>-11</v>
      </c>
      <c r="V140" s="9">
        <f t="shared" si="121"/>
        <v>-576</v>
      </c>
      <c r="W140" s="9">
        <f t="shared" si="121"/>
        <v>-222</v>
      </c>
      <c r="X140" s="9">
        <f t="shared" si="121"/>
        <v>-56</v>
      </c>
      <c r="Y140" s="9">
        <f t="shared" si="121"/>
        <v>86</v>
      </c>
      <c r="Z140" s="9">
        <f t="shared" si="121"/>
        <v>-298</v>
      </c>
      <c r="AA140" s="9">
        <f t="shared" si="121"/>
        <v>-810</v>
      </c>
      <c r="AB140" s="9">
        <f t="shared" si="121"/>
        <v>-130</v>
      </c>
      <c r="AC140" s="9">
        <f t="shared" si="121"/>
        <v>-296</v>
      </c>
      <c r="AD140" s="9">
        <f t="shared" si="121"/>
        <v>-263</v>
      </c>
      <c r="AE140" s="9">
        <f t="shared" si="121"/>
        <v>-102</v>
      </c>
      <c r="AF140" s="9">
        <f t="shared" si="121"/>
        <v>204</v>
      </c>
      <c r="AG140" s="9">
        <f t="shared" si="121"/>
        <v>-204</v>
      </c>
      <c r="AH140" s="9">
        <f t="shared" si="121"/>
        <v>-78</v>
      </c>
      <c r="AI140" s="9">
        <f t="shared" si="121"/>
        <v>-530</v>
      </c>
    </row>
    <row r="141" spans="2:35" x14ac:dyDescent="0.2">
      <c r="B141" s="11" t="s">
        <v>89</v>
      </c>
      <c r="C141">
        <f>-C86+C104</f>
        <v>-9772</v>
      </c>
      <c r="D141">
        <f>-D86+D104</f>
        <v>-45962</v>
      </c>
      <c r="E141">
        <f>-E86+E104</f>
        <v>-10821</v>
      </c>
      <c r="F141">
        <f>-F86+F104</f>
        <v>-9895</v>
      </c>
      <c r="G141">
        <f>-G86+G104</f>
        <v>-19301</v>
      </c>
      <c r="H141">
        <f>-H86+H104</f>
        <v>-5929</v>
      </c>
      <c r="I141">
        <f>-I86+I104</f>
        <v>-4723</v>
      </c>
      <c r="J141">
        <f>-J86+J104</f>
        <v>-1956</v>
      </c>
      <c r="L141" s="62">
        <f t="shared" ref="K141:L141" si="122">-L86+L104</f>
        <v>-11150.219139999999</v>
      </c>
      <c r="M141">
        <f>-M86+M104</f>
        <v>0</v>
      </c>
      <c r="P141">
        <f>-P86+P104</f>
        <v>-4837</v>
      </c>
      <c r="Q141">
        <f t="shared" ref="Q141:AI141" si="123">-Q86+Q104</f>
        <v>-2285</v>
      </c>
      <c r="R141">
        <f t="shared" si="123"/>
        <v>-649</v>
      </c>
      <c r="S141">
        <f t="shared" si="123"/>
        <v>-2001</v>
      </c>
      <c r="T141">
        <f t="shared" si="123"/>
        <v>-40702</v>
      </c>
      <c r="U141">
        <f t="shared" si="123"/>
        <v>-2844</v>
      </c>
      <c r="V141">
        <f t="shared" si="123"/>
        <v>-639</v>
      </c>
      <c r="W141">
        <f t="shared" si="123"/>
        <v>-1777</v>
      </c>
      <c r="X141">
        <f t="shared" si="123"/>
        <v>-3888</v>
      </c>
      <c r="Y141">
        <f t="shared" si="123"/>
        <v>-2409</v>
      </c>
      <c r="Z141">
        <f t="shared" si="123"/>
        <v>-1781</v>
      </c>
      <c r="AA141">
        <f t="shared" si="123"/>
        <v>-2743</v>
      </c>
      <c r="AB141">
        <f t="shared" si="123"/>
        <v>-4031</v>
      </c>
      <c r="AC141">
        <f t="shared" si="123"/>
        <v>-2188</v>
      </c>
      <c r="AD141">
        <f t="shared" si="123"/>
        <v>-1051</v>
      </c>
      <c r="AE141">
        <f t="shared" si="123"/>
        <v>-2625</v>
      </c>
      <c r="AF141">
        <f t="shared" si="123"/>
        <v>-4882</v>
      </c>
      <c r="AG141">
        <f t="shared" si="123"/>
        <v>-4530</v>
      </c>
      <c r="AH141">
        <f t="shared" si="123"/>
        <v>-3155</v>
      </c>
      <c r="AI141">
        <f t="shared" si="123"/>
        <v>-6734</v>
      </c>
    </row>
    <row r="142" spans="2:35" s="10" customFormat="1" x14ac:dyDescent="0.2">
      <c r="B142" s="10" t="s">
        <v>90</v>
      </c>
      <c r="C142" s="10">
        <f>C147-SUM(C143:C146)</f>
        <v>17152</v>
      </c>
      <c r="D142" s="10">
        <f>D147-SUM(D143:D146)</f>
        <v>93500</v>
      </c>
      <c r="E142" s="10">
        <f>E147-SUM(E143:E146)</f>
        <v>115287</v>
      </c>
      <c r="F142" s="10">
        <f>F147-SUM(F143:F146)</f>
        <v>76385</v>
      </c>
      <c r="G142" s="10">
        <f>G147-SUM(G143:G146)</f>
        <v>89493</v>
      </c>
      <c r="H142" s="10">
        <f>H147-SUM(H143:H146)</f>
        <v>30860</v>
      </c>
      <c r="I142" s="10">
        <f>I147-SUM(I143:I146)</f>
        <v>18901</v>
      </c>
      <c r="J142" s="10">
        <f>J147-SUM(J143:J146)</f>
        <v>27126</v>
      </c>
      <c r="L142" s="99">
        <f t="shared" ref="K142:L142" si="124">L147-SUM(L143:L146)</f>
        <v>109701.75312000001</v>
      </c>
      <c r="M142" s="10">
        <f t="shared" ref="K142:M142" si="125">M147-SUM(M143:M146)</f>
        <v>0</v>
      </c>
      <c r="P142" s="10">
        <f>P147-SUM(P143:P146)</f>
        <v>7934</v>
      </c>
      <c r="Q142" s="10">
        <f t="shared" ref="Q142:AI142" si="126">Q147-SUM(Q143:Q146)</f>
        <v>-1679</v>
      </c>
      <c r="R142" s="10">
        <f t="shared" si="126"/>
        <v>5183</v>
      </c>
      <c r="S142" s="10">
        <f t="shared" si="126"/>
        <v>5714</v>
      </c>
      <c r="T142" s="10">
        <f t="shared" si="126"/>
        <v>14703</v>
      </c>
      <c r="U142" s="10">
        <f t="shared" si="126"/>
        <v>43840</v>
      </c>
      <c r="V142" s="10">
        <f t="shared" si="126"/>
        <v>18435</v>
      </c>
      <c r="W142" s="10">
        <f>W147-SUM(W143:W146)</f>
        <v>16522</v>
      </c>
      <c r="X142" s="10">
        <f t="shared" si="126"/>
        <v>32534</v>
      </c>
      <c r="Y142" s="10">
        <f t="shared" si="126"/>
        <v>24503</v>
      </c>
      <c r="Z142" s="10">
        <f t="shared" si="126"/>
        <v>39138</v>
      </c>
      <c r="AA142" s="10">
        <f>AA147-SUM(AA143:AA146)</f>
        <v>19112</v>
      </c>
      <c r="AB142" s="10">
        <f t="shared" si="126"/>
        <v>16848</v>
      </c>
      <c r="AC142" s="10">
        <f>AC147-SUM(AC143:AC146)</f>
        <v>22324</v>
      </c>
      <c r="AD142" s="10">
        <f t="shared" si="126"/>
        <v>11106</v>
      </c>
      <c r="AE142" s="10">
        <f t="shared" si="126"/>
        <v>26107</v>
      </c>
      <c r="AF142" s="10">
        <f t="shared" si="126"/>
        <v>30179</v>
      </c>
      <c r="AG142" s="10">
        <f t="shared" si="126"/>
        <v>13613</v>
      </c>
      <c r="AH142" s="10">
        <f t="shared" si="126"/>
        <v>24666</v>
      </c>
      <c r="AI142" s="10">
        <f t="shared" si="126"/>
        <v>21035</v>
      </c>
    </row>
    <row r="143" spans="2:35" x14ac:dyDescent="0.2">
      <c r="B143" t="s">
        <v>91</v>
      </c>
      <c r="C143">
        <f>C117</f>
        <v>-12769</v>
      </c>
      <c r="D143">
        <f>D117</f>
        <v>-13712</v>
      </c>
      <c r="E143">
        <f>E117</f>
        <v>-14119</v>
      </c>
      <c r="F143">
        <f>F117</f>
        <v>-14081</v>
      </c>
      <c r="G143">
        <f>G117</f>
        <v>-14467</v>
      </c>
      <c r="H143">
        <f>H117</f>
        <v>-3732</v>
      </c>
      <c r="I143">
        <f>I117</f>
        <v>-3595</v>
      </c>
      <c r="J143">
        <f>J117</f>
        <v>-3811</v>
      </c>
      <c r="L143" s="62">
        <f t="shared" ref="K143:L143" si="127">L117</f>
        <v>-20000</v>
      </c>
      <c r="M143">
        <f t="shared" ref="K143:M143" si="128">M117</f>
        <v>0</v>
      </c>
      <c r="P143">
        <f>P117</f>
        <v>-3130</v>
      </c>
      <c r="Q143">
        <f t="shared" ref="Q143:AI144" si="129">Q117</f>
        <v>-3004</v>
      </c>
      <c r="R143">
        <f t="shared" si="129"/>
        <v>-3365</v>
      </c>
      <c r="S143">
        <f t="shared" si="129"/>
        <v>-3270</v>
      </c>
      <c r="T143">
        <f t="shared" si="129"/>
        <v>-3339</v>
      </c>
      <c r="U143">
        <f t="shared" si="129"/>
        <v>-3190</v>
      </c>
      <c r="V143">
        <f t="shared" si="129"/>
        <v>-3653</v>
      </c>
      <c r="W143">
        <f t="shared" si="129"/>
        <v>-3530</v>
      </c>
      <c r="X143">
        <f t="shared" si="129"/>
        <v>-3568</v>
      </c>
      <c r="Y143">
        <f t="shared" si="129"/>
        <v>-3443</v>
      </c>
      <c r="Z143">
        <f t="shared" si="129"/>
        <v>-3629</v>
      </c>
      <c r="AA143">
        <f t="shared" si="129"/>
        <v>-3479</v>
      </c>
      <c r="AB143">
        <f t="shared" si="129"/>
        <v>-3539</v>
      </c>
      <c r="AC143">
        <f t="shared" si="129"/>
        <v>-3375</v>
      </c>
      <c r="AD143">
        <f t="shared" si="129"/>
        <v>-3656</v>
      </c>
      <c r="AE143">
        <f t="shared" si="129"/>
        <v>-3511</v>
      </c>
      <c r="AF143">
        <f t="shared" si="129"/>
        <v>-3613</v>
      </c>
      <c r="AG143">
        <f t="shared" si="129"/>
        <v>-3447</v>
      </c>
      <c r="AH143">
        <f t="shared" si="129"/>
        <v>-3767</v>
      </c>
      <c r="AI143">
        <f t="shared" si="129"/>
        <v>-3640</v>
      </c>
    </row>
    <row r="144" spans="2:35" x14ac:dyDescent="0.2">
      <c r="B144" t="s">
        <v>92</v>
      </c>
      <c r="C144">
        <f>C118</f>
        <v>-33592</v>
      </c>
      <c r="D144">
        <f>D118</f>
        <v>-74596</v>
      </c>
      <c r="E144">
        <f>E118</f>
        <v>-68933</v>
      </c>
      <c r="F144">
        <f>F118</f>
        <v>-75112</v>
      </c>
      <c r="G144">
        <f>G118</f>
        <v>-91422</v>
      </c>
      <c r="H144">
        <f>H118</f>
        <v>-23366</v>
      </c>
      <c r="I144">
        <f>I118</f>
        <v>-22961</v>
      </c>
      <c r="J144">
        <f>J118</f>
        <v>-24562</v>
      </c>
      <c r="L144" s="62">
        <f t="shared" ref="K144:L144" si="130">L118</f>
        <v>-10000</v>
      </c>
      <c r="M144">
        <f t="shared" ref="K144:M144" si="131">M118</f>
        <v>0</v>
      </c>
      <c r="P144">
        <f>P118</f>
        <v>-11302</v>
      </c>
      <c r="Q144">
        <f t="shared" si="129"/>
        <v>-7000</v>
      </c>
      <c r="R144">
        <f t="shared" si="129"/>
        <v>-7641</v>
      </c>
      <c r="S144">
        <f t="shared" si="129"/>
        <v>-7649</v>
      </c>
      <c r="T144">
        <f t="shared" si="129"/>
        <v>-11133</v>
      </c>
      <c r="U144">
        <f t="shared" si="129"/>
        <v>-22581</v>
      </c>
      <c r="V144">
        <f t="shared" si="129"/>
        <v>-21859</v>
      </c>
      <c r="W144">
        <f t="shared" si="129"/>
        <v>-19023</v>
      </c>
      <c r="X144">
        <f t="shared" si="129"/>
        <v>-10114</v>
      </c>
      <c r="Y144">
        <f t="shared" si="129"/>
        <v>-23421</v>
      </c>
      <c r="Z144">
        <f t="shared" si="129"/>
        <v>-18153</v>
      </c>
      <c r="AA144">
        <f t="shared" si="129"/>
        <v>-17245</v>
      </c>
      <c r="AB144">
        <f t="shared" si="129"/>
        <v>-22083</v>
      </c>
      <c r="AC144">
        <f t="shared" si="129"/>
        <v>-15777</v>
      </c>
      <c r="AD144">
        <f t="shared" si="129"/>
        <v>-14950</v>
      </c>
      <c r="AE144">
        <f t="shared" si="129"/>
        <v>-22302</v>
      </c>
      <c r="AF144">
        <f t="shared" si="129"/>
        <v>-27636</v>
      </c>
      <c r="AG144">
        <f t="shared" si="129"/>
        <v>-18286</v>
      </c>
      <c r="AH144">
        <f t="shared" si="129"/>
        <v>-25595</v>
      </c>
      <c r="AI144">
        <f t="shared" si="129"/>
        <v>-19905</v>
      </c>
    </row>
    <row r="145" spans="1:35" x14ac:dyDescent="0.2">
      <c r="B145" t="s">
        <v>93</v>
      </c>
      <c r="C145">
        <f>SUM(C115:C116)</f>
        <v>29014</v>
      </c>
      <c r="D145">
        <f>SUM(D115:D116)</f>
        <v>432</v>
      </c>
      <c r="E145">
        <f>SUM(E115:E116)</f>
        <v>-7819</v>
      </c>
      <c r="F145">
        <f>SUM(F115:F116)</f>
        <v>2499</v>
      </c>
      <c r="G145">
        <f>SUM(G115:G116)</f>
        <v>12665</v>
      </c>
      <c r="H145">
        <f>SUM(H115:H116)</f>
        <v>-1000</v>
      </c>
      <c r="I145">
        <f>SUM(I115:I116)</f>
        <v>-1751</v>
      </c>
      <c r="J145">
        <f>SUM(J115:J116)</f>
        <v>971</v>
      </c>
      <c r="L145" s="62">
        <f t="shared" ref="K145:L145" si="132">SUM(L115:L116)</f>
        <v>1000</v>
      </c>
      <c r="M145">
        <f>SUM(M115:M116)</f>
        <v>0</v>
      </c>
      <c r="P145">
        <f>SUM(P115:P116)</f>
        <v>2385</v>
      </c>
      <c r="Q145">
        <f t="shared" ref="Q145:AI145" si="133">SUM(Q115:Q116)</f>
        <v>10469</v>
      </c>
      <c r="R145">
        <f t="shared" si="133"/>
        <v>9237</v>
      </c>
      <c r="S145">
        <f t="shared" si="133"/>
        <v>6923</v>
      </c>
      <c r="T145">
        <f t="shared" si="133"/>
        <v>6971</v>
      </c>
      <c r="U145">
        <f t="shared" si="133"/>
        <v>-501</v>
      </c>
      <c r="V145">
        <f t="shared" si="133"/>
        <v>-6011</v>
      </c>
      <c r="W145">
        <f t="shared" si="133"/>
        <v>-27</v>
      </c>
      <c r="X145">
        <f t="shared" si="133"/>
        <v>6</v>
      </c>
      <c r="Y145">
        <f t="shared" si="133"/>
        <v>-2506</v>
      </c>
      <c r="Z145">
        <f t="shared" si="133"/>
        <v>-5026</v>
      </c>
      <c r="AA145">
        <f t="shared" si="133"/>
        <v>-293</v>
      </c>
      <c r="AB145">
        <f t="shared" si="133"/>
        <v>231</v>
      </c>
      <c r="AC145">
        <f t="shared" si="133"/>
        <v>-1753</v>
      </c>
      <c r="AD145">
        <f t="shared" si="133"/>
        <v>-441</v>
      </c>
      <c r="AE145">
        <f t="shared" si="133"/>
        <v>4462</v>
      </c>
      <c r="AF145">
        <f t="shared" si="133"/>
        <v>-978</v>
      </c>
      <c r="AG145">
        <f t="shared" si="133"/>
        <v>10423</v>
      </c>
      <c r="AH145">
        <f t="shared" si="133"/>
        <v>0</v>
      </c>
      <c r="AI145">
        <f t="shared" si="133"/>
        <v>3220</v>
      </c>
    </row>
    <row r="146" spans="1:35" s="9" customFormat="1" x14ac:dyDescent="0.2">
      <c r="B146" s="9" t="s">
        <v>114</v>
      </c>
      <c r="C146" s="9">
        <f>C119</f>
        <v>0</v>
      </c>
      <c r="D146" s="9">
        <f>D119</f>
        <v>0</v>
      </c>
      <c r="E146" s="9">
        <f>E119</f>
        <v>-105</v>
      </c>
      <c r="F146" s="9">
        <f>F119</f>
        <v>-126</v>
      </c>
      <c r="G146" s="9">
        <f>G119</f>
        <v>-129</v>
      </c>
      <c r="H146" s="9">
        <f>H119</f>
        <v>-61</v>
      </c>
      <c r="I146" s="9">
        <f>I119</f>
        <v>-44</v>
      </c>
      <c r="J146" s="9">
        <f>J119</f>
        <v>-43</v>
      </c>
      <c r="L146" s="96">
        <f t="shared" ref="K146:L146" si="134">L119</f>
        <v>-150</v>
      </c>
      <c r="M146" s="9">
        <f t="shared" ref="K146:M146" si="135">M119</f>
        <v>0</v>
      </c>
      <c r="P146" s="9">
        <f>P119</f>
        <v>0</v>
      </c>
      <c r="Q146" s="9">
        <f t="shared" ref="Q146:AI146" si="136">Q119</f>
        <v>0</v>
      </c>
      <c r="R146" s="9">
        <f t="shared" si="136"/>
        <v>0</v>
      </c>
      <c r="S146" s="9">
        <f t="shared" si="136"/>
        <v>0</v>
      </c>
      <c r="T146" s="9">
        <f t="shared" si="136"/>
        <v>0</v>
      </c>
      <c r="U146" s="9">
        <f t="shared" si="136"/>
        <v>0</v>
      </c>
      <c r="V146" s="9">
        <f t="shared" si="136"/>
        <v>0</v>
      </c>
      <c r="W146" s="9">
        <f t="shared" si="136"/>
        <v>0</v>
      </c>
      <c r="X146" s="9">
        <f t="shared" si="136"/>
        <v>0</v>
      </c>
      <c r="Y146" s="9">
        <f t="shared" si="136"/>
        <v>-87</v>
      </c>
      <c r="Z146" s="9">
        <f t="shared" si="136"/>
        <v>4</v>
      </c>
      <c r="AA146" s="9">
        <f t="shared" si="136"/>
        <v>-22</v>
      </c>
      <c r="AB146" s="9">
        <f t="shared" si="136"/>
        <v>-16</v>
      </c>
      <c r="AC146" s="9">
        <f t="shared" si="136"/>
        <v>-35</v>
      </c>
      <c r="AD146" s="9">
        <f t="shared" si="136"/>
        <v>-69</v>
      </c>
      <c r="AE146" s="9">
        <f t="shared" si="136"/>
        <v>-6</v>
      </c>
      <c r="AF146" s="9">
        <f t="shared" si="136"/>
        <v>-22</v>
      </c>
      <c r="AG146" s="9">
        <f t="shared" si="136"/>
        <v>-16</v>
      </c>
      <c r="AH146" s="9">
        <f t="shared" si="136"/>
        <v>-34</v>
      </c>
      <c r="AI146" s="9">
        <f t="shared" si="136"/>
        <v>-57</v>
      </c>
    </row>
    <row r="147" spans="1:35" s="10" customFormat="1" x14ac:dyDescent="0.2">
      <c r="B147" s="10" t="s">
        <v>151</v>
      </c>
      <c r="C147" s="10">
        <v>-195</v>
      </c>
      <c r="D147" s="10">
        <v>5624</v>
      </c>
      <c r="E147" s="10">
        <v>24311</v>
      </c>
      <c r="F147" s="10">
        <v>-10435</v>
      </c>
      <c r="G147" s="10">
        <v>-3860</v>
      </c>
      <c r="H147" s="10">
        <v>2701</v>
      </c>
      <c r="I147" s="10">
        <v>-9450</v>
      </c>
      <c r="J147" s="10">
        <v>-319</v>
      </c>
      <c r="L147" s="99">
        <f>L121</f>
        <v>80551.753120000008</v>
      </c>
      <c r="P147" s="10">
        <v>-4113</v>
      </c>
      <c r="Q147" s="10">
        <v>-1214</v>
      </c>
      <c r="R147" s="10">
        <v>3414</v>
      </c>
      <c r="S147" s="10">
        <v>1718</v>
      </c>
      <c r="T147" s="10">
        <v>7202</v>
      </c>
      <c r="U147" s="10">
        <v>17568</v>
      </c>
      <c r="V147" s="10">
        <v>-13088</v>
      </c>
      <c r="W147" s="10">
        <v>-6058</v>
      </c>
      <c r="X147" s="10">
        <v>18858</v>
      </c>
      <c r="Y147" s="10">
        <v>-4954</v>
      </c>
      <c r="Z147" s="10">
        <v>12334</v>
      </c>
      <c r="AA147" s="10">
        <v>-1927</v>
      </c>
      <c r="AB147" s="10">
        <v>-8559</v>
      </c>
      <c r="AC147" s="10">
        <v>1384</v>
      </c>
      <c r="AD147" s="10">
        <v>-8010</v>
      </c>
      <c r="AE147" s="10">
        <v>4750</v>
      </c>
      <c r="AF147" s="10">
        <v>-2070</v>
      </c>
      <c r="AG147" s="10">
        <v>2287</v>
      </c>
      <c r="AH147" s="10">
        <v>-4730</v>
      </c>
      <c r="AI147" s="10">
        <v>653</v>
      </c>
    </row>
    <row r="148" spans="1:35" x14ac:dyDescent="0.2">
      <c r="L148" s="45"/>
    </row>
    <row r="149" spans="1:35" s="20" customFormat="1" x14ac:dyDescent="0.2">
      <c r="A149" s="19"/>
      <c r="B149" s="19"/>
      <c r="C149" s="19"/>
      <c r="J149"/>
      <c r="L149" s="87"/>
      <c r="R149" s="19"/>
      <c r="S149" s="19"/>
      <c r="T149" s="21"/>
      <c r="U149" s="21"/>
    </row>
    <row r="150" spans="1:35" s="20" customFormat="1" x14ac:dyDescent="0.2">
      <c r="A150" s="19"/>
      <c r="B150" s="23"/>
      <c r="C150" s="19"/>
      <c r="D150" s="19"/>
      <c r="J150"/>
      <c r="L150" s="87"/>
      <c r="R150" s="19"/>
      <c r="S150" s="19"/>
      <c r="T150" s="21"/>
      <c r="U150" s="21"/>
      <c r="V150" s="19"/>
      <c r="W150" s="19"/>
      <c r="X150" s="19"/>
    </row>
    <row r="151" spans="1:35" s="20" customFormat="1" x14ac:dyDescent="0.2">
      <c r="A151" s="19"/>
      <c r="B151" s="23"/>
      <c r="C151" s="24"/>
      <c r="D151" s="23"/>
      <c r="J151"/>
      <c r="L151" s="87"/>
      <c r="R151" s="19"/>
      <c r="S151" s="19"/>
      <c r="T151" s="21"/>
      <c r="U151" s="21"/>
      <c r="V151" s="19"/>
      <c r="W151" s="19"/>
    </row>
    <row r="152" spans="1:35" s="20" customFormat="1" x14ac:dyDescent="0.2">
      <c r="A152" s="19"/>
      <c r="B152" s="23"/>
      <c r="C152" s="24"/>
      <c r="D152" s="23"/>
      <c r="J152"/>
      <c r="L152" s="87"/>
      <c r="R152" s="19"/>
      <c r="S152" s="19"/>
      <c r="T152" s="21"/>
      <c r="U152" s="21"/>
    </row>
    <row r="153" spans="1:35" s="20" customFormat="1" x14ac:dyDescent="0.2">
      <c r="A153" s="19"/>
      <c r="B153" s="23"/>
      <c r="C153" s="25"/>
      <c r="D153" s="23"/>
      <c r="J153"/>
      <c r="L153" s="87"/>
      <c r="R153" s="19"/>
      <c r="S153" s="19"/>
      <c r="T153" s="21"/>
      <c r="U153" s="21"/>
    </row>
    <row r="154" spans="1:35" s="20" customFormat="1" x14ac:dyDescent="0.2">
      <c r="A154" s="19"/>
      <c r="B154" s="23"/>
      <c r="C154" s="25"/>
      <c r="D154" s="23"/>
      <c r="J154"/>
      <c r="L154" s="87"/>
      <c r="R154" s="19"/>
      <c r="S154" s="19"/>
      <c r="T154" s="21"/>
      <c r="U154" s="21"/>
      <c r="V154" s="19"/>
      <c r="W154" s="19"/>
    </row>
    <row r="155" spans="1:35" s="20" customFormat="1" x14ac:dyDescent="0.2">
      <c r="A155" s="19"/>
      <c r="B155" s="23"/>
      <c r="C155" s="25"/>
      <c r="D155" s="23"/>
      <c r="J155"/>
      <c r="L155" s="87"/>
      <c r="R155" s="19"/>
      <c r="S155" s="19"/>
      <c r="T155" s="21"/>
      <c r="U155" s="21"/>
    </row>
    <row r="156" spans="1:35" s="20" customFormat="1" x14ac:dyDescent="0.2">
      <c r="A156" s="19"/>
      <c r="B156" s="23"/>
      <c r="C156" s="25"/>
      <c r="D156" s="23"/>
      <c r="J156"/>
      <c r="L156" s="87"/>
      <c r="R156" s="19"/>
      <c r="S156" s="19"/>
      <c r="T156" s="22"/>
      <c r="U156" s="19"/>
    </row>
    <row r="157" spans="1:35" s="20" customFormat="1" x14ac:dyDescent="0.2">
      <c r="A157" s="19"/>
      <c r="B157" s="23"/>
      <c r="C157" s="25"/>
      <c r="D157" s="23"/>
      <c r="J157"/>
      <c r="L157" s="87"/>
      <c r="R157" s="19"/>
      <c r="S157" s="19"/>
      <c r="T157" s="22"/>
      <c r="U157" s="19"/>
      <c r="V157" s="19"/>
      <c r="W157" s="19"/>
    </row>
    <row r="158" spans="1:35" s="20" customFormat="1" x14ac:dyDescent="0.2">
      <c r="A158" s="19"/>
      <c r="B158" s="23"/>
      <c r="C158" s="25"/>
      <c r="D158" s="23"/>
      <c r="J158"/>
      <c r="L158" s="87"/>
      <c r="R158" s="19"/>
      <c r="S158" s="19"/>
      <c r="T158" s="22"/>
      <c r="U158" s="19"/>
      <c r="V158" s="19"/>
      <c r="W158" s="19"/>
    </row>
    <row r="159" spans="1:35" s="20" customFormat="1" x14ac:dyDescent="0.2">
      <c r="A159" s="19"/>
      <c r="B159" s="23"/>
      <c r="C159" s="24"/>
      <c r="D159" s="23"/>
      <c r="J159"/>
      <c r="L159" s="87"/>
      <c r="P159" s="24"/>
      <c r="Q159" s="23"/>
      <c r="R159" s="19"/>
      <c r="S159" s="19"/>
      <c r="T159" s="22"/>
      <c r="U159" s="19"/>
      <c r="V159" s="19"/>
      <c r="W159" s="19"/>
    </row>
    <row r="160" spans="1:35" s="20" customFormat="1" x14ac:dyDescent="0.2">
      <c r="A160" s="19"/>
      <c r="B160" s="23"/>
      <c r="C160" s="19"/>
      <c r="J160"/>
      <c r="L160" s="87"/>
      <c r="P160" s="24"/>
      <c r="Q160" s="23"/>
      <c r="R160" s="19"/>
      <c r="S160" s="19"/>
      <c r="T160" s="22"/>
      <c r="U160" s="19"/>
      <c r="V160" s="19"/>
      <c r="W160" s="19"/>
    </row>
    <row r="161" spans="1:35" x14ac:dyDescent="0.2">
      <c r="L161" s="45"/>
    </row>
    <row r="162" spans="1:35" s="88" customFormat="1" x14ac:dyDescent="0.2">
      <c r="L162" s="89"/>
    </row>
    <row r="163" spans="1:35" s="90" customFormat="1" x14ac:dyDescent="0.2">
      <c r="L163" s="89"/>
    </row>
    <row r="164" spans="1:35" s="88" customFormat="1" x14ac:dyDescent="0.2">
      <c r="L164" s="89"/>
    </row>
    <row r="165" spans="1:35" s="88" customFormat="1" x14ac:dyDescent="0.2">
      <c r="L165" s="89"/>
    </row>
    <row r="166" spans="1:35" s="88" customFormat="1" x14ac:dyDescent="0.2">
      <c r="L166" s="89"/>
    </row>
    <row r="167" spans="1:35" s="88" customFormat="1" x14ac:dyDescent="0.2">
      <c r="L167" s="89"/>
    </row>
    <row r="168" spans="1:35" s="88" customFormat="1" x14ac:dyDescent="0.2">
      <c r="L168" s="89"/>
    </row>
    <row r="169" spans="1:35" s="91" customFormat="1" x14ac:dyDescent="0.2">
      <c r="L169" s="92"/>
    </row>
    <row r="170" spans="1:35" s="88" customFormat="1" x14ac:dyDescent="0.2">
      <c r="A170" s="93"/>
      <c r="L170" s="89"/>
    </row>
    <row r="171" spans="1:35" s="88" customFormat="1" x14ac:dyDescent="0.2">
      <c r="L171" s="89"/>
    </row>
    <row r="172" spans="1:35" s="88" customFormat="1" x14ac:dyDescent="0.2">
      <c r="L172" s="89"/>
    </row>
    <row r="173" spans="1:35" s="88" customFormat="1" x14ac:dyDescent="0.2">
      <c r="B173" s="94"/>
      <c r="C173" s="94"/>
      <c r="D173" s="94"/>
      <c r="E173" s="94"/>
      <c r="F173" s="94"/>
      <c r="G173" s="94"/>
      <c r="H173" s="94"/>
      <c r="I173" s="94"/>
      <c r="J173" s="94"/>
      <c r="L173" s="89"/>
      <c r="P173" s="94"/>
      <c r="Q173" s="94"/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  <c r="AI173" s="94"/>
    </row>
    <row r="174" spans="1:35" x14ac:dyDescent="0.2">
      <c r="L174" s="45"/>
    </row>
    <row r="175" spans="1:35" x14ac:dyDescent="0.2">
      <c r="L175" s="4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17F82-EDA4-A746-88BC-5C6CE359B516}">
  <sheetPr codeName="Sheet3"/>
  <dimension ref="A1:AC40"/>
  <sheetViews>
    <sheetView topLeftCell="A11" workbookViewId="0">
      <selection activeCell="C35" sqref="C35"/>
    </sheetView>
  </sheetViews>
  <sheetFormatPr baseColWidth="10" defaultColWidth="8.83203125" defaultRowHeight="16" x14ac:dyDescent="0.2"/>
  <cols>
    <col min="1" max="1" width="34.1640625" customWidth="1"/>
    <col min="2" max="2" width="17.5" customWidth="1"/>
    <col min="3" max="3" width="26.33203125" customWidth="1"/>
  </cols>
  <sheetData>
    <row r="1" spans="1:29" x14ac:dyDescent="0.2">
      <c r="A1" s="3" t="s">
        <v>67</v>
      </c>
      <c r="B1" s="3" t="s">
        <v>73</v>
      </c>
      <c r="C1" s="3" t="s">
        <v>44</v>
      </c>
      <c r="D1" s="3" t="s">
        <v>45</v>
      </c>
      <c r="E1" s="3" t="s">
        <v>68</v>
      </c>
      <c r="F1" s="3" t="s">
        <v>46</v>
      </c>
      <c r="G1" s="3" t="s">
        <v>74</v>
      </c>
      <c r="H1" s="3" t="s">
        <v>47</v>
      </c>
      <c r="I1" s="3" t="s">
        <v>48</v>
      </c>
      <c r="J1" s="3" t="s">
        <v>69</v>
      </c>
      <c r="K1" s="3" t="s">
        <v>49</v>
      </c>
      <c r="L1" s="3" t="s">
        <v>75</v>
      </c>
      <c r="M1" s="3" t="s">
        <v>50</v>
      </c>
      <c r="N1" s="3" t="s">
        <v>51</v>
      </c>
      <c r="O1" s="3" t="s">
        <v>70</v>
      </c>
      <c r="P1" s="3" t="s">
        <v>52</v>
      </c>
      <c r="Q1" s="3" t="s">
        <v>76</v>
      </c>
      <c r="R1" s="3" t="s">
        <v>53</v>
      </c>
      <c r="S1" s="3" t="s">
        <v>54</v>
      </c>
      <c r="T1" s="3" t="s">
        <v>71</v>
      </c>
      <c r="U1" s="3" t="s">
        <v>55</v>
      </c>
      <c r="V1" s="3" t="s">
        <v>77</v>
      </c>
      <c r="W1" s="3" t="s">
        <v>56</v>
      </c>
      <c r="X1" s="3" t="s">
        <v>57</v>
      </c>
      <c r="Y1" s="3" t="s">
        <v>72</v>
      </c>
      <c r="Z1" s="3" t="s">
        <v>58</v>
      </c>
      <c r="AA1" s="3" t="s">
        <v>78</v>
      </c>
      <c r="AB1" s="3" t="s">
        <v>59</v>
      </c>
      <c r="AC1" s="3" t="s">
        <v>60</v>
      </c>
    </row>
    <row r="2" spans="1:29" x14ac:dyDescent="0.2">
      <c r="A2" t="s">
        <v>248</v>
      </c>
      <c r="B2">
        <v>45309</v>
      </c>
      <c r="C2">
        <v>46688</v>
      </c>
      <c r="D2">
        <v>49491</v>
      </c>
      <c r="E2">
        <v>54210</v>
      </c>
      <c r="F2">
        <v>54210</v>
      </c>
      <c r="G2">
        <v>55479</v>
      </c>
      <c r="H2">
        <v>57784</v>
      </c>
      <c r="I2">
        <v>62060</v>
      </c>
      <c r="J2">
        <v>65982</v>
      </c>
      <c r="K2">
        <v>65982</v>
      </c>
      <c r="L2">
        <v>66823</v>
      </c>
      <c r="M2">
        <v>68139</v>
      </c>
      <c r="N2">
        <v>68529</v>
      </c>
      <c r="O2">
        <v>69797</v>
      </c>
      <c r="P2">
        <v>69797</v>
      </c>
      <c r="Q2">
        <v>70841</v>
      </c>
      <c r="R2">
        <v>71273</v>
      </c>
      <c r="S2">
        <v>72982</v>
      </c>
      <c r="T2">
        <v>75291</v>
      </c>
      <c r="U2">
        <v>75291</v>
      </c>
      <c r="V2">
        <v>76224</v>
      </c>
      <c r="W2">
        <v>77841</v>
      </c>
      <c r="X2">
        <v>78981</v>
      </c>
      <c r="Y2">
        <v>78659</v>
      </c>
      <c r="Z2">
        <v>78659</v>
      </c>
    </row>
    <row r="3" spans="1:29" x14ac:dyDescent="0.2">
      <c r="A3" t="s">
        <v>249</v>
      </c>
      <c r="B3">
        <v>6518</v>
      </c>
      <c r="C3">
        <v>6690</v>
      </c>
      <c r="D3">
        <v>6961</v>
      </c>
      <c r="E3">
        <v>7279</v>
      </c>
      <c r="F3">
        <v>7279</v>
      </c>
      <c r="G3">
        <v>7442</v>
      </c>
      <c r="H3">
        <v>7787</v>
      </c>
      <c r="I3">
        <v>7899</v>
      </c>
      <c r="J3">
        <v>8205</v>
      </c>
      <c r="K3">
        <v>8205</v>
      </c>
      <c r="L3">
        <v>8351</v>
      </c>
      <c r="M3">
        <v>8589</v>
      </c>
      <c r="N3">
        <v>8895</v>
      </c>
      <c r="O3">
        <v>9075</v>
      </c>
      <c r="P3">
        <v>9075</v>
      </c>
      <c r="Q3">
        <v>9395</v>
      </c>
      <c r="R3">
        <v>9614</v>
      </c>
      <c r="S3">
        <v>9867</v>
      </c>
      <c r="T3">
        <v>10283</v>
      </c>
      <c r="U3">
        <v>10283</v>
      </c>
      <c r="V3">
        <v>10384</v>
      </c>
      <c r="W3">
        <v>10439</v>
      </c>
      <c r="X3">
        <v>10727</v>
      </c>
      <c r="Y3">
        <v>11023</v>
      </c>
      <c r="Z3">
        <v>11023</v>
      </c>
    </row>
    <row r="4" spans="1:29" x14ac:dyDescent="0.2">
      <c r="A4" t="s">
        <v>250</v>
      </c>
      <c r="B4">
        <v>10932</v>
      </c>
      <c r="C4">
        <v>11746</v>
      </c>
      <c r="D4">
        <v>12529</v>
      </c>
      <c r="E4">
        <v>13587</v>
      </c>
      <c r="F4">
        <v>13587</v>
      </c>
      <c r="G4">
        <v>14189</v>
      </c>
      <c r="H4">
        <v>14931</v>
      </c>
      <c r="I4">
        <v>15409</v>
      </c>
      <c r="J4">
        <v>16216</v>
      </c>
      <c r="K4">
        <v>16216</v>
      </c>
      <c r="L4">
        <v>16352</v>
      </c>
      <c r="M4">
        <v>16308</v>
      </c>
      <c r="N4">
        <v>16560</v>
      </c>
      <c r="O4">
        <v>17085</v>
      </c>
      <c r="P4">
        <v>17085</v>
      </c>
      <c r="Q4">
        <v>17754</v>
      </c>
      <c r="R4">
        <v>17856</v>
      </c>
      <c r="S4">
        <v>18068</v>
      </c>
      <c r="T4">
        <v>17952</v>
      </c>
      <c r="U4">
        <v>17952</v>
      </c>
      <c r="V4">
        <v>18885</v>
      </c>
      <c r="W4">
        <v>19000</v>
      </c>
      <c r="X4">
        <v>19149</v>
      </c>
      <c r="Y4">
        <v>20041</v>
      </c>
      <c r="Z4">
        <v>20041</v>
      </c>
    </row>
    <row r="6" spans="1:29" x14ac:dyDescent="0.2">
      <c r="A6" t="s">
        <v>251</v>
      </c>
      <c r="B6">
        <f t="shared" ref="B6:Z6" si="0">SUM(B2:B4)</f>
        <v>62759</v>
      </c>
      <c r="C6">
        <f t="shared" si="0"/>
        <v>65124</v>
      </c>
      <c r="D6">
        <f t="shared" si="0"/>
        <v>68981</v>
      </c>
      <c r="E6">
        <f t="shared" si="0"/>
        <v>75076</v>
      </c>
      <c r="F6">
        <f t="shared" si="0"/>
        <v>75076</v>
      </c>
      <c r="G6">
        <f t="shared" si="0"/>
        <v>77110</v>
      </c>
      <c r="H6">
        <f t="shared" si="0"/>
        <v>80502</v>
      </c>
      <c r="I6">
        <f t="shared" si="0"/>
        <v>85368</v>
      </c>
      <c r="J6">
        <f t="shared" si="0"/>
        <v>90403</v>
      </c>
      <c r="K6">
        <f t="shared" si="0"/>
        <v>90403</v>
      </c>
      <c r="L6">
        <f t="shared" si="0"/>
        <v>91526</v>
      </c>
      <c r="M6">
        <f t="shared" si="0"/>
        <v>93036</v>
      </c>
      <c r="N6">
        <f t="shared" si="0"/>
        <v>93984</v>
      </c>
      <c r="O6">
        <f t="shared" si="0"/>
        <v>95957</v>
      </c>
      <c r="P6">
        <f t="shared" si="0"/>
        <v>95957</v>
      </c>
      <c r="Q6">
        <f t="shared" si="0"/>
        <v>97990</v>
      </c>
      <c r="R6">
        <f t="shared" si="0"/>
        <v>98743</v>
      </c>
      <c r="S6">
        <f t="shared" si="0"/>
        <v>100917</v>
      </c>
      <c r="T6">
        <f t="shared" si="0"/>
        <v>103526</v>
      </c>
      <c r="U6">
        <f t="shared" si="0"/>
        <v>103526</v>
      </c>
      <c r="V6">
        <f>SUM(V2:V4)</f>
        <v>105493</v>
      </c>
      <c r="W6">
        <f t="shared" si="0"/>
        <v>107280</v>
      </c>
      <c r="X6">
        <f t="shared" si="0"/>
        <v>108857</v>
      </c>
      <c r="Y6">
        <f t="shared" si="0"/>
        <v>109723</v>
      </c>
      <c r="Z6">
        <f t="shared" si="0"/>
        <v>109723</v>
      </c>
      <c r="AA6">
        <v>107699</v>
      </c>
      <c r="AB6">
        <v>109324</v>
      </c>
      <c r="AC6">
        <v>111851</v>
      </c>
    </row>
    <row r="7" spans="1:29" x14ac:dyDescent="0.2">
      <c r="A7" t="s">
        <v>252</v>
      </c>
      <c r="B7">
        <v>36249</v>
      </c>
      <c r="C7">
        <v>37961</v>
      </c>
      <c r="D7">
        <v>39695</v>
      </c>
      <c r="E7">
        <v>41293</v>
      </c>
      <c r="F7">
        <v>41293</v>
      </c>
      <c r="G7">
        <v>43431</v>
      </c>
      <c r="H7">
        <v>45425</v>
      </c>
      <c r="I7">
        <v>47251</v>
      </c>
      <c r="J7">
        <v>49099</v>
      </c>
      <c r="K7">
        <v>49099</v>
      </c>
      <c r="L7">
        <v>51929</v>
      </c>
      <c r="M7">
        <v>54290</v>
      </c>
      <c r="N7">
        <v>56348</v>
      </c>
      <c r="O7">
        <v>58579</v>
      </c>
      <c r="P7">
        <v>58579</v>
      </c>
      <c r="Q7">
        <v>60959</v>
      </c>
      <c r="R7">
        <v>62854</v>
      </c>
      <c r="S7">
        <v>65230</v>
      </c>
      <c r="T7">
        <v>66760</v>
      </c>
      <c r="U7">
        <v>66760</v>
      </c>
      <c r="V7">
        <v>67560</v>
      </c>
      <c r="W7">
        <v>69465</v>
      </c>
      <c r="X7">
        <v>70242</v>
      </c>
      <c r="Y7">
        <v>70283</v>
      </c>
      <c r="Z7">
        <v>70283</v>
      </c>
      <c r="AA7">
        <v>68454</v>
      </c>
      <c r="AB7">
        <v>70020</v>
      </c>
      <c r="AC7">
        <v>71516</v>
      </c>
    </row>
    <row r="8" spans="1:29" x14ac:dyDescent="0.2">
      <c r="A8" t="s">
        <v>253</v>
      </c>
      <c r="B8">
        <v>26510</v>
      </c>
      <c r="C8">
        <v>27163</v>
      </c>
      <c r="D8">
        <v>29286</v>
      </c>
      <c r="E8">
        <v>33783</v>
      </c>
      <c r="F8">
        <v>33783</v>
      </c>
      <c r="G8">
        <v>33679</v>
      </c>
      <c r="H8">
        <v>35077</v>
      </c>
      <c r="I8">
        <v>38117</v>
      </c>
      <c r="J8">
        <v>41304</v>
      </c>
      <c r="K8">
        <v>41304</v>
      </c>
      <c r="L8">
        <v>39597</v>
      </c>
      <c r="M8">
        <v>38746</v>
      </c>
      <c r="N8">
        <v>37636</v>
      </c>
      <c r="O8">
        <v>37378</v>
      </c>
      <c r="P8">
        <v>37378</v>
      </c>
      <c r="Q8">
        <v>37031</v>
      </c>
      <c r="R8">
        <v>35889</v>
      </c>
      <c r="S8">
        <v>35687</v>
      </c>
      <c r="T8">
        <v>36766</v>
      </c>
      <c r="U8">
        <v>36766</v>
      </c>
      <c r="V8">
        <v>37933</v>
      </c>
      <c r="W8">
        <v>37815</v>
      </c>
      <c r="X8">
        <v>38615</v>
      </c>
      <c r="Y8">
        <v>39440</v>
      </c>
      <c r="Z8">
        <v>39440</v>
      </c>
      <c r="AA8">
        <v>39245</v>
      </c>
      <c r="AB8">
        <v>39304</v>
      </c>
      <c r="AC8">
        <v>40335</v>
      </c>
    </row>
    <row r="11" spans="1:29" x14ac:dyDescent="0.2">
      <c r="A11" s="83" t="s">
        <v>254</v>
      </c>
      <c r="B11" s="83" t="s">
        <v>255</v>
      </c>
      <c r="C11" s="83">
        <v>2021</v>
      </c>
      <c r="D11" s="83">
        <v>2020</v>
      </c>
    </row>
    <row r="12" spans="1:29" x14ac:dyDescent="0.2">
      <c r="A12" s="84" t="s">
        <v>256</v>
      </c>
      <c r="B12" s="82"/>
      <c r="C12" s="82"/>
      <c r="D12" s="82"/>
    </row>
    <row r="13" spans="1:29" x14ac:dyDescent="0.2">
      <c r="A13" s="84" t="s">
        <v>257</v>
      </c>
      <c r="B13" s="84" t="s">
        <v>258</v>
      </c>
      <c r="C13" s="84">
        <v>10087</v>
      </c>
      <c r="D13" s="84">
        <v>8570</v>
      </c>
    </row>
    <row r="14" spans="1:29" x14ac:dyDescent="0.2">
      <c r="A14" s="84" t="s">
        <v>259</v>
      </c>
      <c r="B14" s="84" t="s">
        <v>260</v>
      </c>
      <c r="C14" s="84">
        <v>861</v>
      </c>
      <c r="D14" s="84">
        <v>629</v>
      </c>
    </row>
    <row r="15" spans="1:29" x14ac:dyDescent="0.2">
      <c r="A15" s="84" t="s">
        <v>261</v>
      </c>
      <c r="B15" s="82"/>
      <c r="C15" s="84">
        <v>10948</v>
      </c>
      <c r="D15" s="84">
        <v>9199</v>
      </c>
    </row>
    <row r="16" spans="1:29" x14ac:dyDescent="0.2">
      <c r="A16" s="82"/>
      <c r="B16" s="82"/>
      <c r="C16" s="82"/>
      <c r="D16" s="82"/>
    </row>
    <row r="17" spans="1:4" x14ac:dyDescent="0.2">
      <c r="A17" s="84" t="s">
        <v>262</v>
      </c>
      <c r="B17" s="82"/>
      <c r="C17" s="82"/>
      <c r="D17" s="5"/>
    </row>
    <row r="18" spans="1:4" x14ac:dyDescent="0.2">
      <c r="A18" s="84" t="s">
        <v>257</v>
      </c>
      <c r="B18" s="84" t="s">
        <v>263</v>
      </c>
      <c r="C18" s="84">
        <v>1449</v>
      </c>
      <c r="D18" s="84">
        <v>1436</v>
      </c>
    </row>
    <row r="19" spans="1:4" x14ac:dyDescent="0.2">
      <c r="A19" s="82"/>
      <c r="B19" s="84" t="s">
        <v>264</v>
      </c>
      <c r="C19" s="84">
        <v>9506</v>
      </c>
      <c r="D19" s="84">
        <v>7745</v>
      </c>
    </row>
    <row r="20" spans="1:4" x14ac:dyDescent="0.2">
      <c r="A20" s="84" t="s">
        <v>259</v>
      </c>
      <c r="B20" s="84" t="s">
        <v>263</v>
      </c>
      <c r="C20" s="84">
        <v>79</v>
      </c>
      <c r="D20" s="84">
        <v>24</v>
      </c>
    </row>
    <row r="21" spans="1:4" x14ac:dyDescent="0.2">
      <c r="A21" s="82"/>
      <c r="B21" s="84" t="s">
        <v>264</v>
      </c>
      <c r="C21" s="84">
        <v>769</v>
      </c>
      <c r="D21" s="84">
        <v>637</v>
      </c>
    </row>
    <row r="22" spans="1:4" x14ac:dyDescent="0.2">
      <c r="A22" s="84" t="s">
        <v>265</v>
      </c>
      <c r="B22" s="82"/>
      <c r="C22" s="84">
        <v>11803</v>
      </c>
      <c r="D22" s="84">
        <v>9842</v>
      </c>
    </row>
    <row r="26" spans="1:4" x14ac:dyDescent="0.2">
      <c r="A26" s="19" t="s">
        <v>115</v>
      </c>
      <c r="B26" s="19" t="s">
        <v>136</v>
      </c>
      <c r="C26" s="19" t="s">
        <v>137</v>
      </c>
      <c r="D26" s="19" t="s">
        <v>138</v>
      </c>
    </row>
    <row r="27" spans="1:4" x14ac:dyDescent="0.2">
      <c r="A27" s="19" t="s">
        <v>116</v>
      </c>
      <c r="B27" s="23" t="s">
        <v>117</v>
      </c>
      <c r="C27" s="24">
        <v>1750</v>
      </c>
      <c r="D27" s="23" t="s">
        <v>118</v>
      </c>
    </row>
    <row r="28" spans="1:4" x14ac:dyDescent="0.2">
      <c r="A28" s="19" t="s">
        <v>119</v>
      </c>
      <c r="B28" s="23" t="s">
        <v>120</v>
      </c>
      <c r="C28" s="24">
        <v>95813</v>
      </c>
      <c r="D28" s="23" t="s">
        <v>121</v>
      </c>
    </row>
    <row r="29" spans="1:4" x14ac:dyDescent="0.2">
      <c r="A29" s="19"/>
      <c r="B29" s="23"/>
      <c r="C29" s="25"/>
      <c r="D29" s="23"/>
    </row>
    <row r="30" spans="1:4" x14ac:dyDescent="0.2">
      <c r="A30" s="19" t="s">
        <v>122</v>
      </c>
      <c r="B30" s="23"/>
      <c r="C30" s="25"/>
      <c r="D30" s="23"/>
    </row>
    <row r="31" spans="1:4" x14ac:dyDescent="0.2">
      <c r="A31" s="19" t="s">
        <v>123</v>
      </c>
      <c r="B31" s="23" t="s">
        <v>124</v>
      </c>
      <c r="C31" s="25">
        <v>14000</v>
      </c>
      <c r="D31" s="23" t="s">
        <v>125</v>
      </c>
    </row>
    <row r="32" spans="1:4" x14ac:dyDescent="0.2">
      <c r="A32" s="19"/>
      <c r="B32" s="23"/>
      <c r="C32" s="25"/>
      <c r="D32" s="23"/>
    </row>
    <row r="33" spans="1:4" x14ac:dyDescent="0.2">
      <c r="A33" s="19" t="s">
        <v>126</v>
      </c>
      <c r="B33" s="23"/>
      <c r="C33" s="25"/>
      <c r="D33" s="23"/>
    </row>
    <row r="34" spans="1:4" x14ac:dyDescent="0.2">
      <c r="A34" s="19" t="s">
        <v>127</v>
      </c>
      <c r="B34" s="23" t="s">
        <v>128</v>
      </c>
      <c r="C34" s="25">
        <v>6500</v>
      </c>
      <c r="D34" s="23" t="s">
        <v>129</v>
      </c>
    </row>
    <row r="35" spans="1:4" x14ac:dyDescent="0.2">
      <c r="A35" s="19" t="s">
        <v>130</v>
      </c>
      <c r="B35" s="23"/>
      <c r="C35" s="24">
        <f>SUM(C27:C34)</f>
        <v>118063</v>
      </c>
      <c r="D35" s="23"/>
    </row>
    <row r="36" spans="1:4" x14ac:dyDescent="0.2">
      <c r="A36" s="19"/>
      <c r="B36" s="23"/>
      <c r="C36" s="26"/>
      <c r="D36" s="23"/>
    </row>
    <row r="37" spans="1:4" x14ac:dyDescent="0.2">
      <c r="A37" s="19" t="s">
        <v>131</v>
      </c>
      <c r="B37" s="23"/>
      <c r="C37" s="26">
        <v>-380</v>
      </c>
      <c r="D37" s="23"/>
    </row>
    <row r="38" spans="1:4" x14ac:dyDescent="0.2">
      <c r="A38" s="19" t="s">
        <v>132</v>
      </c>
      <c r="B38" s="23"/>
      <c r="C38" s="26">
        <v>38720</v>
      </c>
      <c r="D38" s="23"/>
    </row>
    <row r="39" spans="1:4" x14ac:dyDescent="0.2">
      <c r="A39" s="19" t="s">
        <v>133</v>
      </c>
      <c r="B39" s="23"/>
      <c r="C39" s="26">
        <v>-9613</v>
      </c>
      <c r="D39" s="23"/>
    </row>
    <row r="40" spans="1:4" x14ac:dyDescent="0.2">
      <c r="A40" s="19" t="s">
        <v>134</v>
      </c>
      <c r="B40" s="23"/>
      <c r="C40" s="26" t="s">
        <v>135</v>
      </c>
      <c r="D40" s="2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09A2D-56B9-784D-AA75-11282EAE5DEC}">
  <sheetPr codeName="Sheet4"/>
  <dimension ref="A1:AC47"/>
  <sheetViews>
    <sheetView topLeftCell="A19" workbookViewId="0">
      <selection activeCell="E35" sqref="E35"/>
    </sheetView>
  </sheetViews>
  <sheetFormatPr baseColWidth="10" defaultColWidth="8.83203125" defaultRowHeight="16" x14ac:dyDescent="0.2"/>
  <cols>
    <col min="1" max="1" width="28.83203125" customWidth="1"/>
  </cols>
  <sheetData>
    <row r="1" spans="1:29" x14ac:dyDescent="0.2">
      <c r="A1" s="3" t="s">
        <v>67</v>
      </c>
      <c r="B1" s="3" t="s">
        <v>73</v>
      </c>
      <c r="C1" s="3" t="s">
        <v>44</v>
      </c>
      <c r="D1" s="3" t="s">
        <v>45</v>
      </c>
      <c r="E1" s="3" t="s">
        <v>68</v>
      </c>
      <c r="F1" s="3" t="s">
        <v>46</v>
      </c>
      <c r="G1" s="3" t="s">
        <v>74</v>
      </c>
      <c r="H1" s="3" t="s">
        <v>47</v>
      </c>
      <c r="I1" s="3" t="s">
        <v>48</v>
      </c>
      <c r="J1" s="3" t="s">
        <v>69</v>
      </c>
      <c r="K1" s="3" t="s">
        <v>49</v>
      </c>
      <c r="L1" s="3" t="s">
        <v>75</v>
      </c>
      <c r="M1" s="3" t="s">
        <v>50</v>
      </c>
      <c r="N1" s="3" t="s">
        <v>51</v>
      </c>
      <c r="O1" s="3" t="s">
        <v>70</v>
      </c>
      <c r="P1" s="3" t="s">
        <v>52</v>
      </c>
      <c r="Q1" s="3" t="s">
        <v>76</v>
      </c>
      <c r="R1" s="3" t="s">
        <v>53</v>
      </c>
      <c r="S1" s="3" t="s">
        <v>54</v>
      </c>
      <c r="T1" s="3" t="s">
        <v>71</v>
      </c>
      <c r="U1" s="3" t="s">
        <v>55</v>
      </c>
      <c r="V1" s="3" t="s">
        <v>77</v>
      </c>
      <c r="W1" s="3" t="s">
        <v>56</v>
      </c>
      <c r="X1" s="3" t="s">
        <v>57</v>
      </c>
      <c r="Y1" s="3" t="s">
        <v>72</v>
      </c>
      <c r="Z1" s="3" t="s">
        <v>58</v>
      </c>
      <c r="AA1" s="3" t="s">
        <v>78</v>
      </c>
      <c r="AB1" s="3" t="s">
        <v>59</v>
      </c>
      <c r="AC1" s="3" t="s">
        <v>60</v>
      </c>
    </row>
    <row r="2" spans="1:29" s="37" customFormat="1" x14ac:dyDescent="0.2">
      <c r="A2" s="37" t="s">
        <v>185</v>
      </c>
      <c r="AC2" s="37" t="s">
        <v>186</v>
      </c>
    </row>
    <row r="4" spans="1:29" x14ac:dyDescent="0.2">
      <c r="A4" t="s">
        <v>267</v>
      </c>
      <c r="B4">
        <v>44081</v>
      </c>
      <c r="C4">
        <v>51944</v>
      </c>
      <c r="D4">
        <v>58188</v>
      </c>
      <c r="E4">
        <v>53892</v>
      </c>
      <c r="F4">
        <v>53892</v>
      </c>
      <c r="G4">
        <v>49662</v>
      </c>
      <c r="H4">
        <v>42881</v>
      </c>
      <c r="I4">
        <v>38999</v>
      </c>
      <c r="J4">
        <v>40388</v>
      </c>
      <c r="K4">
        <v>40388</v>
      </c>
      <c r="L4">
        <v>41656</v>
      </c>
      <c r="M4">
        <v>42104</v>
      </c>
      <c r="N4">
        <v>44084</v>
      </c>
      <c r="O4">
        <v>51713</v>
      </c>
      <c r="P4">
        <v>51713</v>
      </c>
      <c r="Q4">
        <v>67391</v>
      </c>
      <c r="R4">
        <v>53877</v>
      </c>
      <c r="S4">
        <v>59642</v>
      </c>
      <c r="T4">
        <v>52927</v>
      </c>
      <c r="U4">
        <v>52927</v>
      </c>
      <c r="V4">
        <v>40816</v>
      </c>
      <c r="W4">
        <v>31368</v>
      </c>
      <c r="X4">
        <v>27646</v>
      </c>
      <c r="Y4">
        <v>27699</v>
      </c>
      <c r="Z4">
        <v>27699</v>
      </c>
      <c r="AA4">
        <v>26794</v>
      </c>
      <c r="AB4">
        <v>23413</v>
      </c>
      <c r="AC4">
        <v>20729</v>
      </c>
    </row>
    <row r="5" spans="1:29" x14ac:dyDescent="0.2">
      <c r="A5" t="s">
        <v>266</v>
      </c>
      <c r="B5">
        <v>185638</v>
      </c>
      <c r="C5">
        <v>189740</v>
      </c>
      <c r="D5">
        <v>184757</v>
      </c>
      <c r="E5">
        <v>194714</v>
      </c>
      <c r="F5">
        <v>194714</v>
      </c>
      <c r="G5">
        <v>207944</v>
      </c>
      <c r="H5">
        <v>179286</v>
      </c>
      <c r="I5">
        <v>172773</v>
      </c>
      <c r="J5">
        <v>170799</v>
      </c>
      <c r="K5">
        <v>170799</v>
      </c>
      <c r="L5">
        <v>158608</v>
      </c>
      <c r="M5">
        <v>145319</v>
      </c>
      <c r="N5">
        <v>115996</v>
      </c>
      <c r="O5">
        <v>105341</v>
      </c>
      <c r="P5">
        <v>105341</v>
      </c>
      <c r="Q5">
        <v>99899</v>
      </c>
      <c r="R5">
        <v>98793</v>
      </c>
      <c r="S5">
        <v>100592</v>
      </c>
      <c r="T5">
        <v>100887</v>
      </c>
      <c r="U5">
        <v>100887</v>
      </c>
      <c r="V5">
        <v>118745</v>
      </c>
      <c r="W5">
        <v>134539</v>
      </c>
      <c r="X5">
        <v>131948</v>
      </c>
      <c r="Y5">
        <v>127877</v>
      </c>
      <c r="Z5">
        <v>127877</v>
      </c>
      <c r="AA5">
        <v>138683</v>
      </c>
      <c r="AB5">
        <v>141219</v>
      </c>
      <c r="AC5">
        <v>131077</v>
      </c>
    </row>
    <row r="6" spans="1:29" s="10" customFormat="1" x14ac:dyDescent="0.2">
      <c r="A6" s="10" t="s">
        <v>113</v>
      </c>
      <c r="B6" s="10">
        <f>SUM(B4:B5)</f>
        <v>229719</v>
      </c>
      <c r="C6" s="10">
        <f t="shared" ref="C6:AC6" si="0">SUM(C4:C5)</f>
        <v>241684</v>
      </c>
      <c r="D6" s="10">
        <f t="shared" si="0"/>
        <v>242945</v>
      </c>
      <c r="E6" s="10">
        <f t="shared" si="0"/>
        <v>248606</v>
      </c>
      <c r="F6" s="10">
        <f t="shared" si="0"/>
        <v>248606</v>
      </c>
      <c r="G6" s="10">
        <f t="shared" si="0"/>
        <v>257606</v>
      </c>
      <c r="H6" s="10">
        <f t="shared" si="0"/>
        <v>222167</v>
      </c>
      <c r="I6" s="10">
        <f t="shared" si="0"/>
        <v>211772</v>
      </c>
      <c r="J6" s="10">
        <f t="shared" si="0"/>
        <v>211187</v>
      </c>
      <c r="K6" s="10">
        <f t="shared" si="0"/>
        <v>211187</v>
      </c>
      <c r="L6" s="10">
        <f t="shared" si="0"/>
        <v>200264</v>
      </c>
      <c r="M6" s="10">
        <f t="shared" si="0"/>
        <v>187423</v>
      </c>
      <c r="N6" s="10">
        <f t="shared" si="0"/>
        <v>160080</v>
      </c>
      <c r="O6" s="10">
        <f t="shared" si="0"/>
        <v>157054</v>
      </c>
      <c r="P6" s="10">
        <f t="shared" si="0"/>
        <v>157054</v>
      </c>
      <c r="Q6" s="10">
        <f t="shared" si="0"/>
        <v>167290</v>
      </c>
      <c r="R6" s="10">
        <f t="shared" si="0"/>
        <v>152670</v>
      </c>
      <c r="S6" s="10">
        <f t="shared" si="0"/>
        <v>160234</v>
      </c>
      <c r="T6" s="10">
        <f t="shared" si="0"/>
        <v>153814</v>
      </c>
      <c r="U6" s="10">
        <f t="shared" si="0"/>
        <v>153814</v>
      </c>
      <c r="V6" s="10">
        <f t="shared" si="0"/>
        <v>159561</v>
      </c>
      <c r="W6" s="10">
        <f t="shared" si="0"/>
        <v>165907</v>
      </c>
      <c r="X6" s="10">
        <f t="shared" si="0"/>
        <v>159594</v>
      </c>
      <c r="Y6" s="10">
        <f t="shared" si="0"/>
        <v>155576</v>
      </c>
      <c r="Z6" s="10">
        <f t="shared" si="0"/>
        <v>155576</v>
      </c>
      <c r="AA6" s="10">
        <f t="shared" si="0"/>
        <v>165477</v>
      </c>
      <c r="AB6" s="10">
        <f t="shared" si="0"/>
        <v>164632</v>
      </c>
      <c r="AC6" s="10">
        <f t="shared" si="0"/>
        <v>151806</v>
      </c>
    </row>
    <row r="7" spans="1:29" x14ac:dyDescent="0.2">
      <c r="A7" t="s">
        <v>141</v>
      </c>
      <c r="B7">
        <v>16371</v>
      </c>
      <c r="C7">
        <v>15157</v>
      </c>
      <c r="D7">
        <v>18571</v>
      </c>
      <c r="E7">
        <v>20289</v>
      </c>
      <c r="F7">
        <v>20289</v>
      </c>
      <c r="G7">
        <v>27491</v>
      </c>
      <c r="H7">
        <v>45059</v>
      </c>
      <c r="I7">
        <v>31971</v>
      </c>
      <c r="J7">
        <v>25913</v>
      </c>
      <c r="K7">
        <v>25913</v>
      </c>
      <c r="L7">
        <v>44771</v>
      </c>
      <c r="M7">
        <v>37988</v>
      </c>
      <c r="N7">
        <v>50530</v>
      </c>
      <c r="O7">
        <v>48844</v>
      </c>
      <c r="P7">
        <v>48844</v>
      </c>
      <c r="Q7">
        <v>39771</v>
      </c>
      <c r="R7">
        <v>40174</v>
      </c>
      <c r="S7">
        <v>33383</v>
      </c>
      <c r="T7">
        <v>38016</v>
      </c>
      <c r="U7">
        <v>38016</v>
      </c>
      <c r="V7">
        <v>36010</v>
      </c>
      <c r="W7">
        <v>38466</v>
      </c>
      <c r="X7">
        <v>34050</v>
      </c>
      <c r="Y7">
        <v>34940</v>
      </c>
      <c r="Z7">
        <v>34940</v>
      </c>
      <c r="AA7">
        <v>37119</v>
      </c>
      <c r="AB7">
        <v>28098</v>
      </c>
      <c r="AC7">
        <v>27502</v>
      </c>
    </row>
    <row r="8" spans="1:29" s="10" customFormat="1" x14ac:dyDescent="0.2">
      <c r="A8" s="10" t="s">
        <v>271</v>
      </c>
      <c r="B8" s="10">
        <f>B7+B6</f>
        <v>246090</v>
      </c>
      <c r="C8" s="10">
        <f>C7+C6</f>
        <v>256841</v>
      </c>
      <c r="D8" s="10">
        <f>D7+D6</f>
        <v>261516</v>
      </c>
      <c r="E8" s="10">
        <f>E7+E6</f>
        <v>268895</v>
      </c>
      <c r="F8" s="10">
        <f>F7+F6</f>
        <v>268895</v>
      </c>
      <c r="G8" s="10">
        <f>G7+G6</f>
        <v>285097</v>
      </c>
      <c r="H8" s="10">
        <f>H7+H6</f>
        <v>267226</v>
      </c>
      <c r="I8" s="10">
        <f>I7+I6</f>
        <v>243743</v>
      </c>
      <c r="J8" s="10">
        <f>J7+J6</f>
        <v>237100</v>
      </c>
      <c r="K8" s="10">
        <f>K7+K6</f>
        <v>237100</v>
      </c>
      <c r="L8" s="10">
        <f>L7+L6</f>
        <v>245035</v>
      </c>
      <c r="M8" s="10">
        <f>M7+M6</f>
        <v>225411</v>
      </c>
      <c r="N8" s="10">
        <f>N7+N6</f>
        <v>210610</v>
      </c>
      <c r="O8" s="10">
        <f>O7+O6</f>
        <v>205898</v>
      </c>
      <c r="P8" s="10">
        <f>P7+P6</f>
        <v>205898</v>
      </c>
      <c r="Q8" s="10">
        <f>Q7+Q6</f>
        <v>207061</v>
      </c>
      <c r="R8" s="10">
        <f>R7+R6</f>
        <v>192844</v>
      </c>
      <c r="S8" s="10">
        <f>S7+S6</f>
        <v>193617</v>
      </c>
      <c r="T8" s="10">
        <f>T7+T6</f>
        <v>191830</v>
      </c>
      <c r="U8" s="10">
        <f>U7+U6</f>
        <v>191830</v>
      </c>
      <c r="V8" s="10">
        <f>V7+V6</f>
        <v>195571</v>
      </c>
      <c r="W8" s="10">
        <f>W7+W6</f>
        <v>204373</v>
      </c>
      <c r="X8" s="10">
        <f>X7+X6</f>
        <v>193644</v>
      </c>
      <c r="Y8" s="10">
        <f>Y7+Y6</f>
        <v>190516</v>
      </c>
      <c r="Z8" s="10">
        <f>Z7+Z6</f>
        <v>190516</v>
      </c>
      <c r="AA8" s="10">
        <f>AA7+AA6</f>
        <v>202596</v>
      </c>
      <c r="AB8" s="10">
        <f>AB7+AB6</f>
        <v>192730</v>
      </c>
      <c r="AC8" s="10">
        <f>AC7+AC6</f>
        <v>179308</v>
      </c>
    </row>
    <row r="10" spans="1:29" x14ac:dyDescent="0.2">
      <c r="A10" t="s">
        <v>9</v>
      </c>
      <c r="B10">
        <v>14057</v>
      </c>
      <c r="C10">
        <v>11579</v>
      </c>
      <c r="D10">
        <v>12399</v>
      </c>
      <c r="E10">
        <v>17874</v>
      </c>
      <c r="F10">
        <v>17874</v>
      </c>
      <c r="G10">
        <v>23440</v>
      </c>
      <c r="H10">
        <v>14324</v>
      </c>
      <c r="I10">
        <v>14104</v>
      </c>
      <c r="J10">
        <v>23186</v>
      </c>
      <c r="K10">
        <v>23186</v>
      </c>
      <c r="L10">
        <v>18077</v>
      </c>
      <c r="M10">
        <v>15085</v>
      </c>
      <c r="N10">
        <v>14148</v>
      </c>
      <c r="O10">
        <v>22926</v>
      </c>
      <c r="P10">
        <v>22926</v>
      </c>
      <c r="Q10">
        <v>20970</v>
      </c>
      <c r="R10">
        <v>15722</v>
      </c>
      <c r="S10">
        <v>17882</v>
      </c>
      <c r="T10">
        <v>16120</v>
      </c>
      <c r="U10">
        <v>16120</v>
      </c>
      <c r="V10">
        <v>27101</v>
      </c>
      <c r="W10">
        <v>18503</v>
      </c>
      <c r="X10">
        <v>17475</v>
      </c>
      <c r="Y10">
        <v>26278</v>
      </c>
      <c r="Z10">
        <v>26278</v>
      </c>
      <c r="AA10">
        <v>30213</v>
      </c>
      <c r="AB10">
        <v>20815</v>
      </c>
      <c r="AC10">
        <v>21803</v>
      </c>
    </row>
    <row r="11" spans="1:29" x14ac:dyDescent="0.2">
      <c r="A11" t="s">
        <v>11</v>
      </c>
      <c r="B11">
        <v>13920</v>
      </c>
      <c r="C11">
        <v>9033</v>
      </c>
      <c r="D11">
        <v>10233</v>
      </c>
      <c r="E11">
        <v>17799</v>
      </c>
      <c r="F11">
        <v>17799</v>
      </c>
      <c r="G11">
        <v>27459</v>
      </c>
      <c r="H11">
        <v>8084</v>
      </c>
      <c r="I11">
        <v>12263</v>
      </c>
      <c r="J11">
        <v>25809</v>
      </c>
      <c r="K11">
        <v>25809</v>
      </c>
      <c r="L11">
        <v>18904</v>
      </c>
      <c r="M11">
        <v>11193</v>
      </c>
      <c r="N11">
        <v>12326</v>
      </c>
      <c r="O11">
        <v>22878</v>
      </c>
      <c r="P11">
        <v>22878</v>
      </c>
      <c r="Q11">
        <v>18976</v>
      </c>
      <c r="R11">
        <v>14955</v>
      </c>
      <c r="S11">
        <v>14193</v>
      </c>
      <c r="T11">
        <v>21325</v>
      </c>
      <c r="U11">
        <v>21325</v>
      </c>
      <c r="V11">
        <v>31519</v>
      </c>
      <c r="W11">
        <v>14533</v>
      </c>
      <c r="X11">
        <v>16433</v>
      </c>
      <c r="Y11">
        <v>25228</v>
      </c>
      <c r="Z11">
        <v>25228</v>
      </c>
      <c r="AA11">
        <v>35040</v>
      </c>
      <c r="AB11">
        <v>24585</v>
      </c>
      <c r="AC11">
        <v>20439</v>
      </c>
    </row>
    <row r="12" spans="1:29" s="10" customFormat="1" x14ac:dyDescent="0.2">
      <c r="A12" s="10" t="s">
        <v>269</v>
      </c>
      <c r="B12" s="10">
        <f>SUM(B10:B11)</f>
        <v>27977</v>
      </c>
      <c r="C12" s="10">
        <f t="shared" ref="C12:AC12" si="1">SUM(C10:C11)</f>
        <v>20612</v>
      </c>
      <c r="D12" s="10">
        <f t="shared" si="1"/>
        <v>22632</v>
      </c>
      <c r="E12" s="10">
        <f t="shared" si="1"/>
        <v>35673</v>
      </c>
      <c r="F12" s="10">
        <f t="shared" si="1"/>
        <v>35673</v>
      </c>
      <c r="G12" s="10">
        <f t="shared" si="1"/>
        <v>50899</v>
      </c>
      <c r="H12" s="10">
        <f t="shared" si="1"/>
        <v>22408</v>
      </c>
      <c r="I12" s="10">
        <f t="shared" si="1"/>
        <v>26367</v>
      </c>
      <c r="J12" s="10">
        <f t="shared" si="1"/>
        <v>48995</v>
      </c>
      <c r="K12" s="10">
        <f t="shared" si="1"/>
        <v>48995</v>
      </c>
      <c r="L12" s="10">
        <f t="shared" si="1"/>
        <v>36981</v>
      </c>
      <c r="M12" s="10">
        <f t="shared" si="1"/>
        <v>26278</v>
      </c>
      <c r="N12" s="10">
        <f t="shared" si="1"/>
        <v>26474</v>
      </c>
      <c r="O12" s="10">
        <f t="shared" si="1"/>
        <v>45804</v>
      </c>
      <c r="P12" s="10">
        <f t="shared" si="1"/>
        <v>45804</v>
      </c>
      <c r="Q12" s="10">
        <f t="shared" si="1"/>
        <v>39946</v>
      </c>
      <c r="R12" s="10">
        <f t="shared" si="1"/>
        <v>30677</v>
      </c>
      <c r="S12" s="10">
        <f t="shared" si="1"/>
        <v>32075</v>
      </c>
      <c r="T12" s="10">
        <f t="shared" si="1"/>
        <v>37445</v>
      </c>
      <c r="U12" s="10">
        <f t="shared" si="1"/>
        <v>37445</v>
      </c>
      <c r="V12" s="10">
        <f t="shared" si="1"/>
        <v>58620</v>
      </c>
      <c r="W12" s="10">
        <f t="shared" si="1"/>
        <v>33036</v>
      </c>
      <c r="X12" s="10">
        <f t="shared" si="1"/>
        <v>33908</v>
      </c>
      <c r="Y12" s="10">
        <f t="shared" si="1"/>
        <v>51506</v>
      </c>
      <c r="Z12" s="10">
        <f t="shared" si="1"/>
        <v>51506</v>
      </c>
      <c r="AA12" s="10">
        <f t="shared" si="1"/>
        <v>65253</v>
      </c>
      <c r="AB12" s="10">
        <f t="shared" si="1"/>
        <v>45400</v>
      </c>
      <c r="AC12" s="10">
        <f t="shared" si="1"/>
        <v>42242</v>
      </c>
    </row>
    <row r="14" spans="1:29" x14ac:dyDescent="0.2">
      <c r="A14" t="s">
        <v>10</v>
      </c>
      <c r="B14">
        <v>2712</v>
      </c>
      <c r="C14">
        <v>2910</v>
      </c>
      <c r="D14">
        <v>3146</v>
      </c>
      <c r="E14">
        <v>4855</v>
      </c>
      <c r="F14">
        <v>4855</v>
      </c>
      <c r="G14">
        <v>4421</v>
      </c>
      <c r="H14">
        <v>7662</v>
      </c>
      <c r="I14">
        <v>5936</v>
      </c>
      <c r="J14">
        <v>3956</v>
      </c>
      <c r="K14">
        <v>3956</v>
      </c>
      <c r="L14">
        <v>4988</v>
      </c>
      <c r="M14">
        <v>4884</v>
      </c>
      <c r="N14">
        <v>3355</v>
      </c>
      <c r="O14">
        <v>4106</v>
      </c>
      <c r="P14">
        <v>4106</v>
      </c>
      <c r="Q14">
        <v>4097</v>
      </c>
      <c r="R14">
        <v>3334</v>
      </c>
      <c r="S14">
        <v>3978</v>
      </c>
      <c r="T14">
        <v>4061</v>
      </c>
      <c r="U14">
        <v>4061</v>
      </c>
      <c r="V14">
        <v>4973</v>
      </c>
      <c r="W14">
        <v>5219</v>
      </c>
      <c r="X14">
        <v>5178</v>
      </c>
      <c r="Y14">
        <v>6580</v>
      </c>
      <c r="Z14">
        <v>6580</v>
      </c>
      <c r="AA14">
        <v>5876</v>
      </c>
      <c r="AB14">
        <v>5460</v>
      </c>
      <c r="AC14">
        <v>5433</v>
      </c>
    </row>
    <row r="16" spans="1:29" x14ac:dyDescent="0.2">
      <c r="A16" t="s">
        <v>248</v>
      </c>
      <c r="B16">
        <v>45309</v>
      </c>
      <c r="C16">
        <v>46688</v>
      </c>
      <c r="D16">
        <v>49491</v>
      </c>
      <c r="E16">
        <v>54210</v>
      </c>
      <c r="F16">
        <v>54210</v>
      </c>
      <c r="G16">
        <v>55479</v>
      </c>
      <c r="H16">
        <v>57784</v>
      </c>
      <c r="I16">
        <v>62060</v>
      </c>
      <c r="J16">
        <v>65982</v>
      </c>
      <c r="K16">
        <v>65982</v>
      </c>
      <c r="L16">
        <v>66823</v>
      </c>
      <c r="M16">
        <v>68139</v>
      </c>
      <c r="N16">
        <v>68529</v>
      </c>
      <c r="O16">
        <v>69797</v>
      </c>
      <c r="P16">
        <v>69797</v>
      </c>
      <c r="Q16">
        <v>70841</v>
      </c>
      <c r="R16">
        <v>71273</v>
      </c>
      <c r="S16">
        <v>72982</v>
      </c>
      <c r="T16">
        <v>75291</v>
      </c>
      <c r="U16">
        <v>75291</v>
      </c>
      <c r="V16">
        <v>76224</v>
      </c>
      <c r="W16">
        <v>77841</v>
      </c>
      <c r="X16">
        <v>78981</v>
      </c>
      <c r="Y16">
        <v>78659</v>
      </c>
      <c r="Z16">
        <v>78659</v>
      </c>
    </row>
    <row r="17" spans="1:29" x14ac:dyDescent="0.2">
      <c r="A17" t="s">
        <v>249</v>
      </c>
      <c r="B17">
        <v>6518</v>
      </c>
      <c r="C17">
        <v>6690</v>
      </c>
      <c r="D17">
        <v>6961</v>
      </c>
      <c r="E17">
        <v>7279</v>
      </c>
      <c r="F17">
        <v>7279</v>
      </c>
      <c r="G17">
        <v>7442</v>
      </c>
      <c r="H17">
        <v>7787</v>
      </c>
      <c r="I17">
        <v>7899</v>
      </c>
      <c r="J17">
        <v>8205</v>
      </c>
      <c r="K17">
        <v>8205</v>
      </c>
      <c r="L17">
        <v>8351</v>
      </c>
      <c r="M17">
        <v>8589</v>
      </c>
      <c r="N17">
        <v>8895</v>
      </c>
      <c r="O17">
        <v>9075</v>
      </c>
      <c r="P17">
        <v>9075</v>
      </c>
      <c r="Q17">
        <v>9395</v>
      </c>
      <c r="R17">
        <v>9614</v>
      </c>
      <c r="S17">
        <v>9867</v>
      </c>
      <c r="T17">
        <v>10283</v>
      </c>
      <c r="U17">
        <v>10283</v>
      </c>
      <c r="V17">
        <v>10384</v>
      </c>
      <c r="W17">
        <v>10439</v>
      </c>
      <c r="X17">
        <v>10727</v>
      </c>
      <c r="Y17">
        <v>11023</v>
      </c>
      <c r="Z17">
        <v>11023</v>
      </c>
    </row>
    <row r="18" spans="1:29" x14ac:dyDescent="0.2">
      <c r="A18" t="s">
        <v>250</v>
      </c>
      <c r="B18">
        <v>10932</v>
      </c>
      <c r="C18">
        <v>11746</v>
      </c>
      <c r="D18">
        <v>12529</v>
      </c>
      <c r="E18">
        <v>13587</v>
      </c>
      <c r="F18">
        <v>13587</v>
      </c>
      <c r="G18">
        <v>14189</v>
      </c>
      <c r="H18">
        <v>14931</v>
      </c>
      <c r="I18">
        <v>15409</v>
      </c>
      <c r="J18">
        <v>16216</v>
      </c>
      <c r="K18">
        <v>16216</v>
      </c>
      <c r="L18">
        <v>16352</v>
      </c>
      <c r="M18">
        <v>16308</v>
      </c>
      <c r="N18">
        <v>16560</v>
      </c>
      <c r="O18">
        <v>17085</v>
      </c>
      <c r="P18">
        <v>17085</v>
      </c>
      <c r="Q18">
        <v>17754</v>
      </c>
      <c r="R18">
        <v>17856</v>
      </c>
      <c r="S18">
        <v>18068</v>
      </c>
      <c r="T18">
        <v>17952</v>
      </c>
      <c r="U18">
        <v>17952</v>
      </c>
      <c r="V18">
        <v>18885</v>
      </c>
      <c r="W18">
        <v>19000</v>
      </c>
      <c r="X18">
        <v>19149</v>
      </c>
      <c r="Y18">
        <v>20041</v>
      </c>
      <c r="Z18">
        <v>20041</v>
      </c>
    </row>
    <row r="19" spans="1:29" s="10" customFormat="1" x14ac:dyDescent="0.2">
      <c r="A19" s="10" t="s">
        <v>251</v>
      </c>
      <c r="B19" s="10">
        <f t="shared" ref="B19:Z19" si="2">SUM(B16:B18)</f>
        <v>62759</v>
      </c>
      <c r="C19" s="10">
        <f t="shared" si="2"/>
        <v>65124</v>
      </c>
      <c r="D19" s="10">
        <f t="shared" si="2"/>
        <v>68981</v>
      </c>
      <c r="E19" s="10">
        <f t="shared" si="2"/>
        <v>75076</v>
      </c>
      <c r="F19" s="10">
        <f t="shared" si="2"/>
        <v>75076</v>
      </c>
      <c r="G19" s="10">
        <f t="shared" si="2"/>
        <v>77110</v>
      </c>
      <c r="H19" s="10">
        <f t="shared" si="2"/>
        <v>80502</v>
      </c>
      <c r="I19" s="10">
        <f t="shared" si="2"/>
        <v>85368</v>
      </c>
      <c r="J19" s="10">
        <f t="shared" si="2"/>
        <v>90403</v>
      </c>
      <c r="K19" s="10">
        <f t="shared" si="2"/>
        <v>90403</v>
      </c>
      <c r="L19" s="10">
        <f t="shared" si="2"/>
        <v>91526</v>
      </c>
      <c r="M19" s="10">
        <f t="shared" si="2"/>
        <v>93036</v>
      </c>
      <c r="N19" s="10">
        <f t="shared" si="2"/>
        <v>93984</v>
      </c>
      <c r="O19" s="10">
        <f t="shared" si="2"/>
        <v>95957</v>
      </c>
      <c r="P19" s="10">
        <f t="shared" si="2"/>
        <v>95957</v>
      </c>
      <c r="Q19" s="10">
        <f t="shared" si="2"/>
        <v>97990</v>
      </c>
      <c r="R19" s="10">
        <f t="shared" si="2"/>
        <v>98743</v>
      </c>
      <c r="S19" s="10">
        <f t="shared" si="2"/>
        <v>100917</v>
      </c>
      <c r="T19" s="10">
        <f t="shared" si="2"/>
        <v>103526</v>
      </c>
      <c r="U19" s="10">
        <f t="shared" si="2"/>
        <v>103526</v>
      </c>
      <c r="V19" s="10">
        <f>SUM(V16:V18)</f>
        <v>105493</v>
      </c>
      <c r="W19" s="10">
        <f t="shared" si="2"/>
        <v>107280</v>
      </c>
      <c r="X19" s="10">
        <f t="shared" si="2"/>
        <v>108857</v>
      </c>
      <c r="Y19" s="10">
        <f t="shared" si="2"/>
        <v>109723</v>
      </c>
      <c r="Z19" s="10">
        <f t="shared" si="2"/>
        <v>109723</v>
      </c>
      <c r="AA19" s="10">
        <v>107699</v>
      </c>
      <c r="AB19" s="10">
        <v>109324</v>
      </c>
      <c r="AC19" s="10">
        <v>111851</v>
      </c>
    </row>
    <row r="20" spans="1:29" x14ac:dyDescent="0.2">
      <c r="A20" t="s">
        <v>252</v>
      </c>
      <c r="B20">
        <v>36249</v>
      </c>
      <c r="C20">
        <v>37961</v>
      </c>
      <c r="D20">
        <v>39695</v>
      </c>
      <c r="E20">
        <v>41293</v>
      </c>
      <c r="F20">
        <v>41293</v>
      </c>
      <c r="G20">
        <v>43431</v>
      </c>
      <c r="H20">
        <v>45425</v>
      </c>
      <c r="I20">
        <v>47251</v>
      </c>
      <c r="J20">
        <v>49099</v>
      </c>
      <c r="K20">
        <v>49099</v>
      </c>
      <c r="L20">
        <v>51929</v>
      </c>
      <c r="M20">
        <v>54290</v>
      </c>
      <c r="N20">
        <v>56348</v>
      </c>
      <c r="O20">
        <v>58579</v>
      </c>
      <c r="P20">
        <v>58579</v>
      </c>
      <c r="Q20">
        <v>60959</v>
      </c>
      <c r="R20">
        <v>62854</v>
      </c>
      <c r="S20">
        <v>65230</v>
      </c>
      <c r="T20">
        <v>66760</v>
      </c>
      <c r="U20">
        <v>66760</v>
      </c>
      <c r="V20">
        <v>67560</v>
      </c>
      <c r="W20">
        <v>69465</v>
      </c>
      <c r="X20">
        <v>70242</v>
      </c>
      <c r="Y20">
        <v>70283</v>
      </c>
      <c r="Z20">
        <v>70283</v>
      </c>
      <c r="AA20">
        <v>68454</v>
      </c>
      <c r="AB20">
        <v>70020</v>
      </c>
      <c r="AC20">
        <v>71516</v>
      </c>
    </row>
    <row r="21" spans="1:29" s="10" customFormat="1" ht="15" customHeight="1" x14ac:dyDescent="0.2">
      <c r="A21" s="10" t="s">
        <v>253</v>
      </c>
      <c r="B21" s="10">
        <v>26510</v>
      </c>
      <c r="C21" s="10">
        <v>27163</v>
      </c>
      <c r="D21" s="10">
        <v>29286</v>
      </c>
      <c r="E21" s="10">
        <v>33783</v>
      </c>
      <c r="F21" s="10">
        <v>33783</v>
      </c>
      <c r="G21" s="10">
        <v>33679</v>
      </c>
      <c r="H21" s="10">
        <v>35077</v>
      </c>
      <c r="I21" s="10">
        <v>38117</v>
      </c>
      <c r="J21" s="10">
        <v>41304</v>
      </c>
      <c r="K21" s="10">
        <v>41304</v>
      </c>
      <c r="L21" s="10">
        <v>39597</v>
      </c>
      <c r="M21" s="10">
        <v>38746</v>
      </c>
      <c r="N21" s="10">
        <v>37636</v>
      </c>
      <c r="O21" s="10">
        <v>37378</v>
      </c>
      <c r="P21" s="10">
        <v>37378</v>
      </c>
      <c r="Q21" s="10">
        <v>37031</v>
      </c>
      <c r="R21" s="10">
        <v>35889</v>
      </c>
      <c r="S21" s="10">
        <v>35687</v>
      </c>
      <c r="T21" s="10">
        <v>36766</v>
      </c>
      <c r="U21" s="10">
        <v>36766</v>
      </c>
      <c r="V21" s="10">
        <v>37933</v>
      </c>
      <c r="W21" s="10">
        <v>37815</v>
      </c>
      <c r="X21" s="10">
        <v>38615</v>
      </c>
      <c r="Y21" s="10">
        <v>39440</v>
      </c>
      <c r="Z21" s="10">
        <v>39440</v>
      </c>
      <c r="AA21" s="10">
        <v>39245</v>
      </c>
      <c r="AB21" s="10">
        <v>39304</v>
      </c>
      <c r="AC21" s="10">
        <v>40335</v>
      </c>
    </row>
    <row r="23" spans="1:29" x14ac:dyDescent="0.2">
      <c r="A23" t="s">
        <v>188</v>
      </c>
      <c r="B23">
        <v>12191</v>
      </c>
      <c r="C23">
        <v>11367</v>
      </c>
      <c r="D23">
        <v>10338</v>
      </c>
      <c r="E23">
        <v>13936</v>
      </c>
      <c r="F23">
        <v>13936</v>
      </c>
      <c r="G23">
        <v>11337</v>
      </c>
      <c r="H23">
        <v>12043</v>
      </c>
      <c r="I23">
        <v>12488</v>
      </c>
      <c r="J23">
        <v>12087</v>
      </c>
      <c r="K23">
        <v>12087</v>
      </c>
      <c r="L23">
        <v>12432</v>
      </c>
      <c r="M23">
        <v>12092</v>
      </c>
      <c r="N23">
        <v>10530</v>
      </c>
      <c r="O23">
        <v>12352</v>
      </c>
      <c r="P23">
        <v>12352</v>
      </c>
      <c r="Q23">
        <v>12026</v>
      </c>
      <c r="R23">
        <v>15691</v>
      </c>
      <c r="S23">
        <v>10987</v>
      </c>
      <c r="T23">
        <v>11264</v>
      </c>
      <c r="U23">
        <v>11264</v>
      </c>
      <c r="V23">
        <v>13687</v>
      </c>
      <c r="W23">
        <v>13376</v>
      </c>
      <c r="X23">
        <v>13641</v>
      </c>
      <c r="Y23">
        <v>14111</v>
      </c>
      <c r="Z23">
        <v>14111</v>
      </c>
      <c r="AA23">
        <v>18112</v>
      </c>
      <c r="AB23">
        <v>15809</v>
      </c>
      <c r="AC23">
        <v>16386</v>
      </c>
    </row>
    <row r="24" spans="1:29" x14ac:dyDescent="0.2">
      <c r="A24" t="s">
        <v>194</v>
      </c>
      <c r="B24">
        <v>7390</v>
      </c>
      <c r="C24">
        <v>7549</v>
      </c>
      <c r="D24">
        <v>10150</v>
      </c>
      <c r="E24">
        <v>10162</v>
      </c>
      <c r="F24">
        <v>10162</v>
      </c>
      <c r="G24">
        <v>13323</v>
      </c>
      <c r="H24">
        <v>23086</v>
      </c>
      <c r="I24">
        <v>22546</v>
      </c>
      <c r="J24">
        <v>22283</v>
      </c>
      <c r="K24">
        <v>22283</v>
      </c>
      <c r="L24">
        <v>34686</v>
      </c>
      <c r="M24">
        <v>34587</v>
      </c>
      <c r="N24">
        <v>33634</v>
      </c>
      <c r="O24">
        <v>32978</v>
      </c>
      <c r="P24">
        <v>32978</v>
      </c>
      <c r="Q24">
        <v>40457</v>
      </c>
      <c r="R24">
        <v>41965</v>
      </c>
      <c r="S24">
        <v>41000</v>
      </c>
      <c r="T24">
        <v>42522</v>
      </c>
      <c r="U24">
        <v>42522</v>
      </c>
      <c r="V24">
        <v>43270</v>
      </c>
      <c r="W24">
        <v>43339</v>
      </c>
      <c r="X24">
        <v>44854</v>
      </c>
      <c r="Y24">
        <v>48849</v>
      </c>
      <c r="Z24">
        <v>48849</v>
      </c>
      <c r="AA24">
        <v>50109</v>
      </c>
      <c r="AB24">
        <v>51959</v>
      </c>
      <c r="AC24">
        <v>52605</v>
      </c>
    </row>
    <row r="26" spans="1:29" x14ac:dyDescent="0.2">
      <c r="A26" t="s">
        <v>268</v>
      </c>
      <c r="B26">
        <v>8271</v>
      </c>
      <c r="C26">
        <v>8090</v>
      </c>
      <c r="D26">
        <v>8105</v>
      </c>
      <c r="E26">
        <v>8015</v>
      </c>
      <c r="F26">
        <v>8015</v>
      </c>
      <c r="G26">
        <v>8038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8" spans="1:29" x14ac:dyDescent="0.2">
      <c r="A28" t="s">
        <v>196</v>
      </c>
      <c r="B28">
        <f>B8+B12+B14+B21+B23+B24+B26</f>
        <v>331141</v>
      </c>
      <c r="C28">
        <f t="shared" ref="C28:AC28" si="3">C8+C12+C14+C21+C23+C24+C26</f>
        <v>334532</v>
      </c>
      <c r="D28">
        <f t="shared" si="3"/>
        <v>345173</v>
      </c>
      <c r="E28">
        <f t="shared" si="3"/>
        <v>375319</v>
      </c>
      <c r="F28">
        <f t="shared" si="3"/>
        <v>375319</v>
      </c>
      <c r="G28">
        <f t="shared" si="3"/>
        <v>406794</v>
      </c>
      <c r="H28">
        <f t="shared" si="3"/>
        <v>367502</v>
      </c>
      <c r="I28">
        <f t="shared" si="3"/>
        <v>349197</v>
      </c>
      <c r="J28">
        <f t="shared" si="3"/>
        <v>365725</v>
      </c>
      <c r="K28">
        <f t="shared" si="3"/>
        <v>365725</v>
      </c>
      <c r="L28">
        <f t="shared" si="3"/>
        <v>373719</v>
      </c>
      <c r="M28">
        <f t="shared" si="3"/>
        <v>341998</v>
      </c>
      <c r="N28">
        <f t="shared" si="3"/>
        <v>322239</v>
      </c>
      <c r="O28">
        <f t="shared" si="3"/>
        <v>338516</v>
      </c>
      <c r="P28">
        <f t="shared" si="3"/>
        <v>338516</v>
      </c>
      <c r="Q28">
        <f t="shared" si="3"/>
        <v>340618</v>
      </c>
      <c r="R28">
        <f t="shared" si="3"/>
        <v>320400</v>
      </c>
      <c r="S28">
        <f t="shared" si="3"/>
        <v>317344</v>
      </c>
      <c r="T28">
        <f t="shared" si="3"/>
        <v>323888</v>
      </c>
      <c r="U28">
        <f t="shared" si="3"/>
        <v>323888</v>
      </c>
      <c r="V28">
        <f t="shared" si="3"/>
        <v>354054</v>
      </c>
      <c r="W28">
        <f t="shared" si="3"/>
        <v>337158</v>
      </c>
      <c r="X28">
        <f t="shared" si="3"/>
        <v>329840</v>
      </c>
      <c r="Y28">
        <f t="shared" si="3"/>
        <v>351002</v>
      </c>
      <c r="Z28">
        <f t="shared" si="3"/>
        <v>351002</v>
      </c>
      <c r="AA28">
        <f t="shared" si="3"/>
        <v>381191</v>
      </c>
      <c r="AB28">
        <f t="shared" si="3"/>
        <v>350662</v>
      </c>
      <c r="AC28">
        <f t="shared" si="3"/>
        <v>336309</v>
      </c>
    </row>
    <row r="30" spans="1:29" s="37" customFormat="1" x14ac:dyDescent="0.2">
      <c r="A30" s="37" t="s">
        <v>278</v>
      </c>
    </row>
    <row r="32" spans="1:29" x14ac:dyDescent="0.2">
      <c r="A32" t="s">
        <v>274</v>
      </c>
      <c r="B32">
        <v>7889</v>
      </c>
      <c r="C32">
        <v>7682</v>
      </c>
      <c r="D32">
        <v>7608</v>
      </c>
      <c r="E32">
        <v>7548</v>
      </c>
      <c r="F32">
        <v>7548</v>
      </c>
      <c r="G32">
        <v>8044</v>
      </c>
      <c r="H32">
        <v>7775</v>
      </c>
      <c r="I32">
        <v>7403</v>
      </c>
      <c r="J32">
        <v>7543</v>
      </c>
      <c r="K32">
        <v>7543</v>
      </c>
      <c r="L32">
        <v>5546</v>
      </c>
      <c r="M32">
        <v>5532</v>
      </c>
      <c r="N32">
        <v>5434</v>
      </c>
      <c r="O32">
        <v>5522</v>
      </c>
      <c r="P32">
        <v>5522</v>
      </c>
      <c r="Q32">
        <v>5573</v>
      </c>
      <c r="R32">
        <v>5928</v>
      </c>
      <c r="S32">
        <v>6313</v>
      </c>
      <c r="T32">
        <v>6643</v>
      </c>
      <c r="U32">
        <v>6643</v>
      </c>
      <c r="V32">
        <v>7395</v>
      </c>
      <c r="W32">
        <v>7595</v>
      </c>
      <c r="X32">
        <v>7681</v>
      </c>
      <c r="Y32">
        <v>7612</v>
      </c>
      <c r="Z32">
        <v>7612</v>
      </c>
      <c r="AA32">
        <v>7876</v>
      </c>
      <c r="AB32">
        <v>7920</v>
      </c>
      <c r="AC32">
        <v>7728</v>
      </c>
    </row>
    <row r="33" spans="1:29" x14ac:dyDescent="0.2">
      <c r="A33" t="s">
        <v>275</v>
      </c>
      <c r="B33">
        <v>3163</v>
      </c>
      <c r="C33">
        <v>3107</v>
      </c>
      <c r="D33">
        <v>2984</v>
      </c>
      <c r="E33">
        <v>2836</v>
      </c>
      <c r="F33">
        <v>2836</v>
      </c>
      <c r="G33">
        <v>3131</v>
      </c>
      <c r="H33">
        <v>3087</v>
      </c>
      <c r="I33">
        <v>2878</v>
      </c>
      <c r="J33">
        <v>2797</v>
      </c>
      <c r="K33">
        <v>2797</v>
      </c>
    </row>
    <row r="34" spans="1:29" s="10" customFormat="1" x14ac:dyDescent="0.2">
      <c r="A34" s="10" t="s">
        <v>276</v>
      </c>
      <c r="B34" s="10">
        <f>SUM(B32:B33)</f>
        <v>11052</v>
      </c>
      <c r="C34" s="10">
        <f t="shared" ref="C34:AC34" si="4">SUM(C32:C33)</f>
        <v>10789</v>
      </c>
      <c r="D34" s="10">
        <f t="shared" si="4"/>
        <v>10592</v>
      </c>
      <c r="E34" s="10">
        <f t="shared" si="4"/>
        <v>10384</v>
      </c>
      <c r="F34" s="10">
        <f t="shared" si="4"/>
        <v>10384</v>
      </c>
      <c r="G34" s="10">
        <f t="shared" si="4"/>
        <v>11175</v>
      </c>
      <c r="H34" s="10">
        <f t="shared" si="4"/>
        <v>10862</v>
      </c>
      <c r="I34" s="10">
        <f t="shared" si="4"/>
        <v>10281</v>
      </c>
      <c r="J34" s="10">
        <f t="shared" si="4"/>
        <v>10340</v>
      </c>
      <c r="K34" s="10">
        <f t="shared" si="4"/>
        <v>10340</v>
      </c>
      <c r="L34" s="10">
        <f t="shared" si="4"/>
        <v>5546</v>
      </c>
      <c r="M34" s="10">
        <f t="shared" si="4"/>
        <v>5532</v>
      </c>
      <c r="N34" s="10">
        <f t="shared" si="4"/>
        <v>5434</v>
      </c>
      <c r="O34" s="10">
        <f t="shared" si="4"/>
        <v>5522</v>
      </c>
      <c r="P34" s="10">
        <f t="shared" si="4"/>
        <v>5522</v>
      </c>
      <c r="Q34" s="10">
        <f t="shared" si="4"/>
        <v>5573</v>
      </c>
      <c r="R34" s="10">
        <f t="shared" si="4"/>
        <v>5928</v>
      </c>
      <c r="S34" s="10">
        <f t="shared" si="4"/>
        <v>6313</v>
      </c>
      <c r="T34" s="10">
        <f t="shared" si="4"/>
        <v>6643</v>
      </c>
      <c r="U34" s="10">
        <f t="shared" si="4"/>
        <v>6643</v>
      </c>
      <c r="V34" s="10">
        <f t="shared" si="4"/>
        <v>7395</v>
      </c>
      <c r="W34" s="10">
        <f t="shared" si="4"/>
        <v>7595</v>
      </c>
      <c r="X34" s="10">
        <f t="shared" si="4"/>
        <v>7681</v>
      </c>
      <c r="Y34" s="10">
        <f t="shared" si="4"/>
        <v>7612</v>
      </c>
      <c r="Z34" s="10">
        <f t="shared" si="4"/>
        <v>7612</v>
      </c>
      <c r="AA34" s="10">
        <f t="shared" si="4"/>
        <v>7876</v>
      </c>
      <c r="AB34" s="10">
        <f t="shared" si="4"/>
        <v>7920</v>
      </c>
      <c r="AC34" s="10">
        <f t="shared" si="4"/>
        <v>7728</v>
      </c>
    </row>
    <row r="35" spans="1:29" x14ac:dyDescent="0.2">
      <c r="A35" t="s">
        <v>13</v>
      </c>
      <c r="B35">
        <v>38510</v>
      </c>
      <c r="C35">
        <v>28573</v>
      </c>
      <c r="D35">
        <v>31915</v>
      </c>
      <c r="E35">
        <v>49049</v>
      </c>
      <c r="F35">
        <v>49049</v>
      </c>
      <c r="G35">
        <v>62985</v>
      </c>
      <c r="H35">
        <v>34311</v>
      </c>
      <c r="I35">
        <v>38489</v>
      </c>
      <c r="J35">
        <v>55888</v>
      </c>
      <c r="K35">
        <v>55888</v>
      </c>
      <c r="L35">
        <v>44293</v>
      </c>
      <c r="M35">
        <v>30443</v>
      </c>
      <c r="N35">
        <v>29115</v>
      </c>
      <c r="O35">
        <v>46236</v>
      </c>
      <c r="P35">
        <v>46236</v>
      </c>
      <c r="Q35">
        <v>45111</v>
      </c>
      <c r="R35">
        <v>32421</v>
      </c>
      <c r="S35">
        <v>35325</v>
      </c>
      <c r="T35">
        <v>42296</v>
      </c>
      <c r="U35">
        <v>42296</v>
      </c>
      <c r="V35">
        <v>63846</v>
      </c>
      <c r="W35">
        <v>40127</v>
      </c>
      <c r="X35">
        <v>40409</v>
      </c>
      <c r="Y35">
        <v>54763</v>
      </c>
      <c r="Z35">
        <v>54763</v>
      </c>
      <c r="AA35">
        <v>74362</v>
      </c>
      <c r="AB35">
        <v>52682</v>
      </c>
      <c r="AC35">
        <v>48343</v>
      </c>
    </row>
    <row r="36" spans="1:29" s="10" customFormat="1" x14ac:dyDescent="0.2">
      <c r="A36" s="10" t="s">
        <v>277</v>
      </c>
      <c r="B36" s="10">
        <f>SUM(B34:B35)</f>
        <v>49562</v>
      </c>
      <c r="C36" s="10">
        <f t="shared" ref="C36:AC36" si="5">SUM(C34:C35)</f>
        <v>39362</v>
      </c>
      <c r="D36" s="10">
        <f t="shared" si="5"/>
        <v>42507</v>
      </c>
      <c r="E36" s="10">
        <f t="shared" si="5"/>
        <v>59433</v>
      </c>
      <c r="F36" s="10">
        <f t="shared" si="5"/>
        <v>59433</v>
      </c>
      <c r="G36" s="10">
        <f t="shared" si="5"/>
        <v>74160</v>
      </c>
      <c r="H36" s="10">
        <f t="shared" si="5"/>
        <v>45173</v>
      </c>
      <c r="I36" s="10">
        <f t="shared" si="5"/>
        <v>48770</v>
      </c>
      <c r="J36" s="10">
        <f t="shared" si="5"/>
        <v>66228</v>
      </c>
      <c r="K36" s="10">
        <f t="shared" si="5"/>
        <v>66228</v>
      </c>
      <c r="L36" s="10">
        <f t="shared" si="5"/>
        <v>49839</v>
      </c>
      <c r="M36" s="10">
        <f t="shared" si="5"/>
        <v>35975</v>
      </c>
      <c r="N36" s="10">
        <f t="shared" si="5"/>
        <v>34549</v>
      </c>
      <c r="O36" s="10">
        <f t="shared" si="5"/>
        <v>51758</v>
      </c>
      <c r="P36" s="10">
        <f t="shared" si="5"/>
        <v>51758</v>
      </c>
      <c r="Q36" s="10">
        <f t="shared" si="5"/>
        <v>50684</v>
      </c>
      <c r="R36" s="10">
        <f t="shared" si="5"/>
        <v>38349</v>
      </c>
      <c r="S36" s="10">
        <f t="shared" si="5"/>
        <v>41638</v>
      </c>
      <c r="T36" s="10">
        <f t="shared" si="5"/>
        <v>48939</v>
      </c>
      <c r="U36" s="10">
        <f t="shared" si="5"/>
        <v>48939</v>
      </c>
      <c r="V36" s="10">
        <f t="shared" si="5"/>
        <v>71241</v>
      </c>
      <c r="W36" s="10">
        <f t="shared" si="5"/>
        <v>47722</v>
      </c>
      <c r="X36" s="10">
        <f t="shared" si="5"/>
        <v>48090</v>
      </c>
      <c r="Y36" s="10">
        <f t="shared" si="5"/>
        <v>62375</v>
      </c>
      <c r="Z36" s="10">
        <f t="shared" si="5"/>
        <v>62375</v>
      </c>
      <c r="AA36" s="10">
        <f t="shared" si="5"/>
        <v>82238</v>
      </c>
      <c r="AB36" s="10">
        <f t="shared" si="5"/>
        <v>60602</v>
      </c>
      <c r="AC36" s="10">
        <f t="shared" si="5"/>
        <v>56071</v>
      </c>
    </row>
    <row r="38" spans="1:29" x14ac:dyDescent="0.2">
      <c r="A38" t="s">
        <v>199</v>
      </c>
      <c r="B38">
        <v>10493</v>
      </c>
      <c r="C38">
        <v>9992</v>
      </c>
      <c r="D38">
        <v>11980</v>
      </c>
      <c r="E38">
        <v>11977</v>
      </c>
      <c r="F38">
        <v>11977</v>
      </c>
      <c r="G38">
        <v>11980</v>
      </c>
      <c r="H38">
        <v>11980</v>
      </c>
      <c r="I38">
        <v>11974</v>
      </c>
      <c r="J38">
        <v>11964</v>
      </c>
      <c r="K38">
        <v>11964</v>
      </c>
      <c r="L38">
        <v>11969</v>
      </c>
      <c r="M38">
        <v>11924</v>
      </c>
      <c r="N38">
        <v>9953</v>
      </c>
      <c r="O38">
        <v>5980</v>
      </c>
      <c r="P38">
        <v>5980</v>
      </c>
      <c r="Q38">
        <v>4990</v>
      </c>
      <c r="R38">
        <v>10029</v>
      </c>
      <c r="S38">
        <v>11166</v>
      </c>
      <c r="T38">
        <v>4996</v>
      </c>
      <c r="U38">
        <v>4996</v>
      </c>
      <c r="V38">
        <v>5000</v>
      </c>
      <c r="W38">
        <v>5000</v>
      </c>
      <c r="X38">
        <v>8000</v>
      </c>
      <c r="Y38">
        <v>6000</v>
      </c>
      <c r="Z38">
        <v>6000</v>
      </c>
      <c r="AA38">
        <v>5000</v>
      </c>
      <c r="AB38">
        <v>6999</v>
      </c>
      <c r="AC38">
        <v>10982</v>
      </c>
    </row>
    <row r="39" spans="1:29" x14ac:dyDescent="0.2">
      <c r="A39" t="s">
        <v>139</v>
      </c>
      <c r="B39">
        <v>3499</v>
      </c>
      <c r="C39">
        <v>3999</v>
      </c>
      <c r="D39">
        <v>6495</v>
      </c>
      <c r="E39">
        <v>6496</v>
      </c>
      <c r="F39">
        <v>6496</v>
      </c>
      <c r="G39">
        <v>6498</v>
      </c>
      <c r="H39">
        <v>8498</v>
      </c>
      <c r="I39">
        <v>5498</v>
      </c>
      <c r="J39">
        <v>8784</v>
      </c>
      <c r="K39">
        <v>8784</v>
      </c>
      <c r="L39">
        <v>9772</v>
      </c>
      <c r="M39">
        <v>10505</v>
      </c>
      <c r="N39">
        <v>13529</v>
      </c>
      <c r="O39">
        <v>10260</v>
      </c>
      <c r="P39">
        <v>10260</v>
      </c>
      <c r="Q39">
        <v>10224</v>
      </c>
      <c r="R39">
        <v>10392</v>
      </c>
      <c r="S39">
        <v>7509</v>
      </c>
      <c r="T39">
        <v>8773</v>
      </c>
      <c r="U39">
        <v>8773</v>
      </c>
      <c r="V39">
        <v>7762</v>
      </c>
      <c r="W39">
        <v>8003</v>
      </c>
      <c r="X39">
        <v>8039</v>
      </c>
      <c r="Y39">
        <v>9613</v>
      </c>
      <c r="Z39">
        <v>9613</v>
      </c>
      <c r="AA39">
        <v>11169</v>
      </c>
      <c r="AB39">
        <v>9659</v>
      </c>
      <c r="AC39">
        <v>14009</v>
      </c>
    </row>
    <row r="40" spans="1:29" x14ac:dyDescent="0.2">
      <c r="A40" t="s">
        <v>140</v>
      </c>
      <c r="B40">
        <v>73557</v>
      </c>
      <c r="C40">
        <v>84531</v>
      </c>
      <c r="D40">
        <v>89864</v>
      </c>
      <c r="E40">
        <v>97207</v>
      </c>
      <c r="F40">
        <v>97207</v>
      </c>
      <c r="G40">
        <v>103922</v>
      </c>
      <c r="H40">
        <v>101362</v>
      </c>
      <c r="I40">
        <v>97128</v>
      </c>
      <c r="J40">
        <v>93735</v>
      </c>
      <c r="K40">
        <v>93735</v>
      </c>
      <c r="L40">
        <v>92989</v>
      </c>
      <c r="M40">
        <v>90201</v>
      </c>
      <c r="N40">
        <v>84936</v>
      </c>
      <c r="O40">
        <v>91807</v>
      </c>
      <c r="P40">
        <v>91807</v>
      </c>
      <c r="Q40">
        <v>93078</v>
      </c>
      <c r="R40">
        <v>89086</v>
      </c>
      <c r="S40">
        <v>94048</v>
      </c>
      <c r="T40">
        <v>98667</v>
      </c>
      <c r="U40">
        <v>98667</v>
      </c>
      <c r="V40">
        <v>99281</v>
      </c>
      <c r="W40">
        <v>108642</v>
      </c>
      <c r="X40">
        <v>105752</v>
      </c>
      <c r="Y40">
        <v>109106</v>
      </c>
      <c r="Z40">
        <v>109106</v>
      </c>
      <c r="AA40">
        <v>106629</v>
      </c>
      <c r="AB40">
        <v>103323</v>
      </c>
      <c r="AC40">
        <v>94700</v>
      </c>
    </row>
    <row r="41" spans="1:29" s="10" customFormat="1" x14ac:dyDescent="0.2">
      <c r="A41" s="10" t="s">
        <v>273</v>
      </c>
      <c r="B41" s="10">
        <f>SUM(B38:B40)</f>
        <v>87549</v>
      </c>
      <c r="C41" s="10">
        <f t="shared" ref="C41:AC41" si="6">SUM(C38:C40)</f>
        <v>98522</v>
      </c>
      <c r="D41" s="10">
        <f t="shared" si="6"/>
        <v>108339</v>
      </c>
      <c r="E41" s="10">
        <f t="shared" si="6"/>
        <v>115680</v>
      </c>
      <c r="F41" s="10">
        <f t="shared" si="6"/>
        <v>115680</v>
      </c>
      <c r="G41" s="10">
        <f t="shared" si="6"/>
        <v>122400</v>
      </c>
      <c r="H41" s="10">
        <f t="shared" si="6"/>
        <v>121840</v>
      </c>
      <c r="I41" s="10">
        <f t="shared" si="6"/>
        <v>114600</v>
      </c>
      <c r="J41" s="10">
        <f t="shared" si="6"/>
        <v>114483</v>
      </c>
      <c r="K41" s="10">
        <f t="shared" si="6"/>
        <v>114483</v>
      </c>
      <c r="L41" s="10">
        <f t="shared" si="6"/>
        <v>114730</v>
      </c>
      <c r="M41" s="10">
        <f t="shared" si="6"/>
        <v>112630</v>
      </c>
      <c r="N41" s="10">
        <f t="shared" si="6"/>
        <v>108418</v>
      </c>
      <c r="O41" s="10">
        <f t="shared" si="6"/>
        <v>108047</v>
      </c>
      <c r="P41" s="10">
        <f t="shared" si="6"/>
        <v>108047</v>
      </c>
      <c r="Q41" s="10">
        <f t="shared" si="6"/>
        <v>108292</v>
      </c>
      <c r="R41" s="10">
        <f t="shared" si="6"/>
        <v>109507</v>
      </c>
      <c r="S41" s="10">
        <f t="shared" si="6"/>
        <v>112723</v>
      </c>
      <c r="T41" s="10">
        <f t="shared" si="6"/>
        <v>112436</v>
      </c>
      <c r="U41" s="10">
        <f t="shared" si="6"/>
        <v>112436</v>
      </c>
      <c r="V41" s="10">
        <f t="shared" si="6"/>
        <v>112043</v>
      </c>
      <c r="W41" s="10">
        <f t="shared" si="6"/>
        <v>121645</v>
      </c>
      <c r="X41" s="10">
        <f t="shared" si="6"/>
        <v>121791</v>
      </c>
      <c r="Y41" s="10">
        <f t="shared" si="6"/>
        <v>124719</v>
      </c>
      <c r="Z41" s="10">
        <f t="shared" si="6"/>
        <v>124719</v>
      </c>
      <c r="AA41" s="10">
        <f t="shared" si="6"/>
        <v>122798</v>
      </c>
      <c r="AB41" s="10">
        <f t="shared" si="6"/>
        <v>119981</v>
      </c>
      <c r="AC41" s="10">
        <f t="shared" si="6"/>
        <v>119691</v>
      </c>
    </row>
    <row r="44" spans="1:29" x14ac:dyDescent="0.2">
      <c r="A44" t="s">
        <v>200</v>
      </c>
      <c r="J44">
        <v>32687</v>
      </c>
      <c r="K44">
        <v>32687</v>
      </c>
      <c r="L44">
        <v>36703</v>
      </c>
      <c r="M44">
        <v>35368</v>
      </c>
      <c r="N44">
        <v>31673</v>
      </c>
      <c r="O44">
        <v>37720</v>
      </c>
      <c r="P44">
        <v>37720</v>
      </c>
      <c r="Q44">
        <v>36263</v>
      </c>
      <c r="R44">
        <v>37324</v>
      </c>
      <c r="S44">
        <v>35005</v>
      </c>
      <c r="T44">
        <v>42684</v>
      </c>
      <c r="U44">
        <v>42684</v>
      </c>
      <c r="V44">
        <v>48504</v>
      </c>
      <c r="W44">
        <v>45660</v>
      </c>
      <c r="X44">
        <v>43625</v>
      </c>
      <c r="Y44">
        <v>47493</v>
      </c>
      <c r="Z44">
        <v>47493</v>
      </c>
      <c r="AA44">
        <v>49167</v>
      </c>
      <c r="AB44">
        <v>50248</v>
      </c>
      <c r="AC44">
        <v>48811</v>
      </c>
    </row>
    <row r="45" spans="1:29" x14ac:dyDescent="0.2">
      <c r="A45" t="s">
        <v>203</v>
      </c>
      <c r="B45">
        <v>37901</v>
      </c>
      <c r="C45">
        <v>39470</v>
      </c>
      <c r="D45">
        <v>38598</v>
      </c>
      <c r="E45">
        <v>40415</v>
      </c>
      <c r="F45">
        <v>40415</v>
      </c>
      <c r="G45">
        <v>43754</v>
      </c>
      <c r="H45">
        <v>46855</v>
      </c>
      <c r="I45">
        <v>45694</v>
      </c>
      <c r="J45">
        <v>45180</v>
      </c>
      <c r="K45">
        <v>45180</v>
      </c>
      <c r="L45">
        <v>54555</v>
      </c>
      <c r="M45">
        <v>52165</v>
      </c>
      <c r="N45">
        <v>51143</v>
      </c>
      <c r="O45">
        <v>50503</v>
      </c>
      <c r="P45">
        <v>50503</v>
      </c>
      <c r="Q45">
        <v>55848</v>
      </c>
      <c r="R45">
        <v>56795</v>
      </c>
      <c r="S45">
        <v>55696</v>
      </c>
      <c r="T45">
        <v>54490</v>
      </c>
      <c r="U45">
        <v>54490</v>
      </c>
      <c r="V45">
        <v>56042</v>
      </c>
      <c r="W45">
        <v>52953</v>
      </c>
      <c r="X45">
        <v>52054</v>
      </c>
      <c r="Y45">
        <v>53325</v>
      </c>
      <c r="Z45">
        <v>53325</v>
      </c>
      <c r="AA45">
        <v>55056</v>
      </c>
      <c r="AB45">
        <v>52432</v>
      </c>
      <c r="AC45">
        <v>53629</v>
      </c>
    </row>
    <row r="47" spans="1:29" x14ac:dyDescent="0.2">
      <c r="A47" t="s">
        <v>205</v>
      </c>
      <c r="B47">
        <f>B36+B41+SUM(B44:B45)</f>
        <v>175012</v>
      </c>
      <c r="C47">
        <f t="shared" ref="C47:AB47" si="7">C36+C41+SUM(C44:C45)</f>
        <v>177354</v>
      </c>
      <c r="D47">
        <f t="shared" si="7"/>
        <v>189444</v>
      </c>
      <c r="E47">
        <f t="shared" si="7"/>
        <v>215528</v>
      </c>
      <c r="F47">
        <f t="shared" si="7"/>
        <v>215528</v>
      </c>
      <c r="G47">
        <f t="shared" si="7"/>
        <v>240314</v>
      </c>
      <c r="H47">
        <f t="shared" si="7"/>
        <v>213868</v>
      </c>
      <c r="I47">
        <f t="shared" si="7"/>
        <v>209064</v>
      </c>
      <c r="J47">
        <f t="shared" si="7"/>
        <v>258578</v>
      </c>
      <c r="K47">
        <f t="shared" si="7"/>
        <v>258578</v>
      </c>
      <c r="L47">
        <f t="shared" si="7"/>
        <v>255827</v>
      </c>
      <c r="M47">
        <f t="shared" si="7"/>
        <v>236138</v>
      </c>
      <c r="N47">
        <f t="shared" si="7"/>
        <v>225783</v>
      </c>
      <c r="O47">
        <f t="shared" si="7"/>
        <v>248028</v>
      </c>
      <c r="P47">
        <f t="shared" si="7"/>
        <v>248028</v>
      </c>
      <c r="Q47">
        <f t="shared" si="7"/>
        <v>251087</v>
      </c>
      <c r="R47">
        <f t="shared" si="7"/>
        <v>241975</v>
      </c>
      <c r="S47">
        <f t="shared" si="7"/>
        <v>245062</v>
      </c>
      <c r="T47">
        <f t="shared" si="7"/>
        <v>258549</v>
      </c>
      <c r="U47">
        <f t="shared" si="7"/>
        <v>258549</v>
      </c>
      <c r="V47">
        <f t="shared" si="7"/>
        <v>287830</v>
      </c>
      <c r="W47">
        <f t="shared" si="7"/>
        <v>267980</v>
      </c>
      <c r="X47">
        <f t="shared" si="7"/>
        <v>265560</v>
      </c>
      <c r="Y47">
        <f t="shared" si="7"/>
        <v>287912</v>
      </c>
      <c r="Z47">
        <f t="shared" si="7"/>
        <v>287912</v>
      </c>
      <c r="AA47">
        <f t="shared" si="7"/>
        <v>309259</v>
      </c>
      <c r="AB47">
        <f t="shared" si="7"/>
        <v>283263</v>
      </c>
      <c r="AC47">
        <f>AC36+AC41+SUM(AC44:AC45)</f>
        <v>278202</v>
      </c>
    </row>
  </sheetData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B4165-121E-654F-8D43-3A620B4D69B3}">
  <sheetPr codeName="Sheet5"/>
  <dimension ref="A3:AR31"/>
  <sheetViews>
    <sheetView topLeftCell="A3" workbookViewId="0">
      <pane xSplit="1" ySplit="1" topLeftCell="B8" activePane="bottomRight" state="frozen"/>
      <selection activeCell="A3" sqref="A3"/>
      <selection pane="topRight" activeCell="B3" sqref="B3"/>
      <selection pane="bottomLeft" activeCell="A4" sqref="A4"/>
      <selection pane="bottomRight" activeCell="A33" sqref="A33"/>
    </sheetView>
  </sheetViews>
  <sheetFormatPr baseColWidth="10" defaultRowHeight="16" x14ac:dyDescent="0.2"/>
  <cols>
    <col min="1" max="1" width="47.6640625" customWidth="1"/>
    <col min="17" max="17" width="16.5" customWidth="1"/>
  </cols>
  <sheetData>
    <row r="3" spans="1:40" x14ac:dyDescent="0.2">
      <c r="A3" s="4"/>
      <c r="B3" s="4" t="s">
        <v>73</v>
      </c>
      <c r="C3" s="4" t="s">
        <v>44</v>
      </c>
      <c r="D3" s="4" t="s">
        <v>45</v>
      </c>
      <c r="E3" s="4" t="s">
        <v>68</v>
      </c>
      <c r="F3" s="4" t="s">
        <v>46</v>
      </c>
      <c r="G3" s="4" t="s">
        <v>74</v>
      </c>
      <c r="H3" s="4" t="s">
        <v>47</v>
      </c>
      <c r="I3" s="4" t="s">
        <v>48</v>
      </c>
      <c r="J3" s="4" t="s">
        <v>69</v>
      </c>
      <c r="K3" s="4" t="s">
        <v>49</v>
      </c>
      <c r="L3" s="4" t="s">
        <v>75</v>
      </c>
      <c r="M3" s="4" t="s">
        <v>50</v>
      </c>
      <c r="N3" s="4" t="s">
        <v>51</v>
      </c>
      <c r="O3" s="4" t="s">
        <v>70</v>
      </c>
      <c r="P3" s="4" t="s">
        <v>52</v>
      </c>
      <c r="Q3" s="4" t="s">
        <v>76</v>
      </c>
      <c r="R3" s="4" t="s">
        <v>53</v>
      </c>
      <c r="S3" s="4" t="s">
        <v>54</v>
      </c>
      <c r="T3" s="4" t="s">
        <v>71</v>
      </c>
      <c r="U3" s="4" t="s">
        <v>55</v>
      </c>
      <c r="V3" s="4" t="s">
        <v>77</v>
      </c>
      <c r="W3" s="4" t="s">
        <v>56</v>
      </c>
      <c r="X3" s="4" t="s">
        <v>57</v>
      </c>
      <c r="Y3" s="4" t="s">
        <v>72</v>
      </c>
      <c r="Z3" s="4" t="s">
        <v>58</v>
      </c>
      <c r="AA3" s="4" t="s">
        <v>78</v>
      </c>
      <c r="AB3" s="4" t="s">
        <v>59</v>
      </c>
      <c r="AC3" s="4" t="s">
        <v>60</v>
      </c>
    </row>
    <row r="4" spans="1:40" x14ac:dyDescent="0.2">
      <c r="A4" t="s">
        <v>30</v>
      </c>
      <c r="B4">
        <v>-3130</v>
      </c>
      <c r="C4">
        <v>-3004</v>
      </c>
      <c r="D4">
        <v>-3365</v>
      </c>
      <c r="E4">
        <v>-3270</v>
      </c>
      <c r="F4">
        <v>-12769</v>
      </c>
      <c r="G4">
        <v>-3339</v>
      </c>
      <c r="H4">
        <v>-3190</v>
      </c>
      <c r="I4">
        <v>-3653</v>
      </c>
      <c r="J4">
        <v>-3530</v>
      </c>
      <c r="K4">
        <v>-13712</v>
      </c>
      <c r="L4">
        <v>-3568</v>
      </c>
      <c r="M4">
        <v>-3443</v>
      </c>
      <c r="N4">
        <v>-3629</v>
      </c>
      <c r="O4">
        <v>-3479</v>
      </c>
      <c r="P4">
        <v>-14119</v>
      </c>
      <c r="Q4">
        <v>-3539</v>
      </c>
      <c r="R4">
        <v>-3375</v>
      </c>
      <c r="S4">
        <v>-3656</v>
      </c>
      <c r="T4">
        <v>-3511</v>
      </c>
      <c r="U4">
        <v>-14081</v>
      </c>
      <c r="V4">
        <v>-3613</v>
      </c>
      <c r="W4">
        <v>-3447</v>
      </c>
      <c r="X4">
        <v>-3767</v>
      </c>
      <c r="Y4">
        <v>-3640</v>
      </c>
      <c r="Z4">
        <v>-14467</v>
      </c>
      <c r="AA4">
        <v>-3732</v>
      </c>
      <c r="AB4">
        <v>-3595</v>
      </c>
      <c r="AC4">
        <v>-3811</v>
      </c>
    </row>
    <row r="5" spans="1:40" s="10" customFormat="1" x14ac:dyDescent="0.2">
      <c r="A5" s="10" t="s">
        <v>91</v>
      </c>
      <c r="B5" s="10">
        <f>B4</f>
        <v>-3130</v>
      </c>
      <c r="C5" s="10">
        <f t="shared" ref="C5:AC5" si="0">C4</f>
        <v>-3004</v>
      </c>
      <c r="D5" s="10">
        <f t="shared" si="0"/>
        <v>-3365</v>
      </c>
      <c r="E5" s="10">
        <f t="shared" si="0"/>
        <v>-3270</v>
      </c>
      <c r="F5" s="10">
        <f t="shared" si="0"/>
        <v>-12769</v>
      </c>
      <c r="G5" s="10">
        <f t="shared" si="0"/>
        <v>-3339</v>
      </c>
      <c r="H5" s="10">
        <f t="shared" si="0"/>
        <v>-3190</v>
      </c>
      <c r="I5" s="10">
        <f t="shared" si="0"/>
        <v>-3653</v>
      </c>
      <c r="J5" s="10">
        <f t="shared" si="0"/>
        <v>-3530</v>
      </c>
      <c r="K5" s="10">
        <f t="shared" si="0"/>
        <v>-13712</v>
      </c>
      <c r="L5" s="10">
        <f t="shared" si="0"/>
        <v>-3568</v>
      </c>
      <c r="M5" s="10">
        <f t="shared" si="0"/>
        <v>-3443</v>
      </c>
      <c r="N5" s="10">
        <f t="shared" si="0"/>
        <v>-3629</v>
      </c>
      <c r="O5" s="10">
        <f t="shared" si="0"/>
        <v>-3479</v>
      </c>
      <c r="P5" s="10">
        <f t="shared" si="0"/>
        <v>-14119</v>
      </c>
      <c r="Q5" s="10">
        <f t="shared" si="0"/>
        <v>-3539</v>
      </c>
      <c r="R5" s="10">
        <f t="shared" si="0"/>
        <v>-3375</v>
      </c>
      <c r="S5" s="10">
        <f t="shared" si="0"/>
        <v>-3656</v>
      </c>
      <c r="T5" s="10">
        <f t="shared" si="0"/>
        <v>-3511</v>
      </c>
      <c r="U5" s="10">
        <f t="shared" si="0"/>
        <v>-14081</v>
      </c>
      <c r="V5" s="10">
        <f t="shared" si="0"/>
        <v>-3613</v>
      </c>
      <c r="W5" s="10">
        <f t="shared" si="0"/>
        <v>-3447</v>
      </c>
      <c r="X5" s="10">
        <f t="shared" si="0"/>
        <v>-3767</v>
      </c>
      <c r="Y5" s="10">
        <f t="shared" si="0"/>
        <v>-3640</v>
      </c>
      <c r="Z5" s="10">
        <f t="shared" si="0"/>
        <v>-14467</v>
      </c>
      <c r="AA5" s="10">
        <f t="shared" si="0"/>
        <v>-3732</v>
      </c>
      <c r="AB5" s="10">
        <f t="shared" si="0"/>
        <v>-3595</v>
      </c>
      <c r="AC5" s="10">
        <f t="shared" si="0"/>
        <v>-3811</v>
      </c>
      <c r="AE5"/>
    </row>
    <row r="7" spans="1:40" x14ac:dyDescent="0.2">
      <c r="A7" t="s">
        <v>29</v>
      </c>
      <c r="B7">
        <v>-629</v>
      </c>
      <c r="C7">
        <v>-159</v>
      </c>
      <c r="D7">
        <v>-858</v>
      </c>
      <c r="E7">
        <v>-228</v>
      </c>
      <c r="F7">
        <v>-1874</v>
      </c>
      <c r="G7">
        <v>-1038</v>
      </c>
      <c r="H7">
        <v>-152</v>
      </c>
      <c r="I7">
        <v>-1077</v>
      </c>
      <c r="J7">
        <v>-260</v>
      </c>
      <c r="K7">
        <v>-2527</v>
      </c>
      <c r="L7">
        <v>-1318</v>
      </c>
      <c r="M7">
        <v>-109</v>
      </c>
      <c r="N7">
        <v>-1199</v>
      </c>
      <c r="O7">
        <v>-191</v>
      </c>
      <c r="P7">
        <v>-2817</v>
      </c>
      <c r="Q7">
        <v>-1379</v>
      </c>
      <c r="R7">
        <v>-187</v>
      </c>
      <c r="S7">
        <v>-1668</v>
      </c>
      <c r="T7">
        <v>-400</v>
      </c>
      <c r="U7">
        <v>-3634</v>
      </c>
      <c r="V7">
        <v>-2861</v>
      </c>
      <c r="W7">
        <v>-299</v>
      </c>
      <c r="X7">
        <v>-2695</v>
      </c>
      <c r="Y7">
        <v>-701</v>
      </c>
      <c r="Z7">
        <v>-6556</v>
      </c>
      <c r="AA7">
        <v>-2888</v>
      </c>
      <c r="AB7">
        <v>-330</v>
      </c>
      <c r="AC7">
        <v>-2697</v>
      </c>
    </row>
    <row r="8" spans="1:40" x14ac:dyDescent="0.2">
      <c r="A8" t="s">
        <v>31</v>
      </c>
      <c r="C8">
        <v>273</v>
      </c>
      <c r="D8">
        <v>1</v>
      </c>
      <c r="E8">
        <v>281</v>
      </c>
      <c r="F8">
        <v>555</v>
      </c>
      <c r="H8">
        <v>327</v>
      </c>
      <c r="I8">
        <v>1</v>
      </c>
      <c r="J8">
        <v>341</v>
      </c>
      <c r="K8">
        <v>669</v>
      </c>
      <c r="M8">
        <v>390</v>
      </c>
      <c r="N8">
        <v>1</v>
      </c>
      <c r="O8">
        <v>390</v>
      </c>
      <c r="P8">
        <v>781</v>
      </c>
      <c r="Q8">
        <v>2</v>
      </c>
      <c r="R8">
        <v>428</v>
      </c>
      <c r="T8">
        <v>450</v>
      </c>
      <c r="U8">
        <v>880</v>
      </c>
      <c r="W8">
        <v>561</v>
      </c>
      <c r="Y8">
        <v>544</v>
      </c>
      <c r="Z8">
        <v>1105</v>
      </c>
    </row>
    <row r="9" spans="1:40" x14ac:dyDescent="0.2">
      <c r="A9" t="s">
        <v>33</v>
      </c>
      <c r="B9">
        <v>178</v>
      </c>
      <c r="C9">
        <v>47</v>
      </c>
      <c r="D9">
        <v>309</v>
      </c>
      <c r="E9">
        <v>93</v>
      </c>
      <c r="F9">
        <v>627</v>
      </c>
    </row>
    <row r="10" spans="1:40" x14ac:dyDescent="0.2">
      <c r="A10" t="s">
        <v>32</v>
      </c>
      <c r="B10">
        <v>-10851</v>
      </c>
      <c r="C10">
        <v>-7161</v>
      </c>
      <c r="D10">
        <v>-7093</v>
      </c>
      <c r="E10">
        <v>-7795</v>
      </c>
      <c r="F10">
        <v>-32900</v>
      </c>
      <c r="G10">
        <v>-10095</v>
      </c>
      <c r="H10">
        <v>-22756</v>
      </c>
      <c r="I10">
        <v>-20783</v>
      </c>
      <c r="J10">
        <v>-19104</v>
      </c>
      <c r="K10">
        <v>-72738</v>
      </c>
      <c r="L10">
        <v>-8796</v>
      </c>
      <c r="M10">
        <v>-23702</v>
      </c>
      <c r="N10">
        <v>-16955</v>
      </c>
      <c r="O10">
        <v>-17444</v>
      </c>
      <c r="P10">
        <v>-66897</v>
      </c>
      <c r="Q10">
        <v>-20706</v>
      </c>
      <c r="R10">
        <v>-18574</v>
      </c>
      <c r="S10">
        <v>-15891</v>
      </c>
      <c r="T10">
        <v>-17187</v>
      </c>
      <c r="U10">
        <v>-72358</v>
      </c>
      <c r="V10">
        <v>-24775</v>
      </c>
      <c r="W10">
        <v>-18548</v>
      </c>
      <c r="X10">
        <v>-22900</v>
      </c>
      <c r="Y10">
        <v>-19748</v>
      </c>
      <c r="Z10">
        <v>-85971</v>
      </c>
      <c r="AA10">
        <v>-20478</v>
      </c>
      <c r="AB10">
        <v>-22631</v>
      </c>
      <c r="AC10">
        <v>-21865</v>
      </c>
    </row>
    <row r="11" spans="1:40" x14ac:dyDescent="0.2">
      <c r="A11" t="s">
        <v>41</v>
      </c>
      <c r="R11">
        <v>2556</v>
      </c>
      <c r="S11">
        <v>-2556</v>
      </c>
      <c r="AM11">
        <v>2556</v>
      </c>
    </row>
    <row r="12" spans="1:40" x14ac:dyDescent="0.2">
      <c r="A12" t="s">
        <v>42</v>
      </c>
      <c r="S12">
        <v>5165</v>
      </c>
      <c r="T12">
        <v>-5165</v>
      </c>
      <c r="AN12">
        <v>5165</v>
      </c>
    </row>
    <row r="13" spans="1:40" s="10" customFormat="1" x14ac:dyDescent="0.2">
      <c r="A13" s="10" t="s">
        <v>92</v>
      </c>
      <c r="B13" s="10">
        <f>SUM(B7:B12)</f>
        <v>-11302</v>
      </c>
      <c r="C13" s="10">
        <f t="shared" ref="C13:AC13" si="1">SUM(C7:C12)</f>
        <v>-7000</v>
      </c>
      <c r="D13" s="10">
        <f t="shared" si="1"/>
        <v>-7641</v>
      </c>
      <c r="E13" s="10">
        <f t="shared" si="1"/>
        <v>-7649</v>
      </c>
      <c r="F13" s="10">
        <f t="shared" si="1"/>
        <v>-33592</v>
      </c>
      <c r="G13" s="10">
        <f t="shared" si="1"/>
        <v>-11133</v>
      </c>
      <c r="H13" s="10">
        <f t="shared" si="1"/>
        <v>-22581</v>
      </c>
      <c r="I13" s="10">
        <f t="shared" si="1"/>
        <v>-21859</v>
      </c>
      <c r="J13" s="10">
        <f t="shared" si="1"/>
        <v>-19023</v>
      </c>
      <c r="K13" s="10">
        <f t="shared" si="1"/>
        <v>-74596</v>
      </c>
      <c r="L13" s="10">
        <f t="shared" si="1"/>
        <v>-10114</v>
      </c>
      <c r="M13" s="10">
        <f t="shared" si="1"/>
        <v>-23421</v>
      </c>
      <c r="N13" s="10">
        <f t="shared" si="1"/>
        <v>-18153</v>
      </c>
      <c r="O13" s="10">
        <f t="shared" si="1"/>
        <v>-17245</v>
      </c>
      <c r="P13" s="10">
        <f t="shared" si="1"/>
        <v>-68933</v>
      </c>
      <c r="Q13" s="10">
        <f t="shared" si="1"/>
        <v>-22083</v>
      </c>
      <c r="R13" s="10">
        <f t="shared" si="1"/>
        <v>-15777</v>
      </c>
      <c r="S13" s="10">
        <f t="shared" si="1"/>
        <v>-14950</v>
      </c>
      <c r="T13" s="10">
        <f t="shared" si="1"/>
        <v>-22302</v>
      </c>
      <c r="U13" s="10">
        <f t="shared" si="1"/>
        <v>-75112</v>
      </c>
      <c r="V13" s="10">
        <f t="shared" si="1"/>
        <v>-27636</v>
      </c>
      <c r="W13" s="10">
        <f t="shared" si="1"/>
        <v>-18286</v>
      </c>
      <c r="X13" s="10">
        <f t="shared" si="1"/>
        <v>-25595</v>
      </c>
      <c r="Y13" s="10">
        <f t="shared" si="1"/>
        <v>-19905</v>
      </c>
      <c r="Z13" s="10">
        <f t="shared" si="1"/>
        <v>-91422</v>
      </c>
      <c r="AA13" s="10">
        <f t="shared" si="1"/>
        <v>-23366</v>
      </c>
      <c r="AB13" s="10">
        <f t="shared" si="1"/>
        <v>-22961</v>
      </c>
      <c r="AC13" s="10">
        <f t="shared" si="1"/>
        <v>-24562</v>
      </c>
      <c r="AE13"/>
    </row>
    <row r="15" spans="1:40" x14ac:dyDescent="0.2">
      <c r="A15" t="s">
        <v>43</v>
      </c>
      <c r="N15">
        <v>-2026</v>
      </c>
      <c r="O15">
        <v>2026</v>
      </c>
      <c r="T15">
        <v>-963</v>
      </c>
      <c r="U15">
        <v>-963</v>
      </c>
    </row>
    <row r="16" spans="1:40" x14ac:dyDescent="0.2">
      <c r="A16" t="s">
        <v>36</v>
      </c>
      <c r="O16">
        <v>-5977</v>
      </c>
      <c r="P16">
        <v>-5977</v>
      </c>
      <c r="Q16">
        <v>-979</v>
      </c>
      <c r="R16">
        <v>2497</v>
      </c>
      <c r="S16">
        <v>-1487</v>
      </c>
      <c r="T16">
        <v>-31</v>
      </c>
      <c r="V16">
        <v>22</v>
      </c>
      <c r="X16">
        <v>3000</v>
      </c>
      <c r="Y16">
        <v>-2000</v>
      </c>
      <c r="Z16">
        <v>1022</v>
      </c>
      <c r="AA16">
        <v>-1000</v>
      </c>
      <c r="AB16">
        <v>1999</v>
      </c>
      <c r="AC16">
        <v>3971</v>
      </c>
    </row>
    <row r="17" spans="1:44" x14ac:dyDescent="0.2">
      <c r="A17" t="s">
        <v>37</v>
      </c>
      <c r="B17">
        <v>2385</v>
      </c>
      <c r="C17">
        <v>-506</v>
      </c>
      <c r="D17">
        <v>1987</v>
      </c>
      <c r="E17">
        <v>-14</v>
      </c>
      <c r="F17">
        <v>3852</v>
      </c>
      <c r="G17">
        <v>2</v>
      </c>
      <c r="H17">
        <v>-1</v>
      </c>
      <c r="I17">
        <v>-11</v>
      </c>
      <c r="J17">
        <v>-27</v>
      </c>
      <c r="K17">
        <v>-37</v>
      </c>
      <c r="L17">
        <v>6</v>
      </c>
      <c r="M17">
        <v>-6</v>
      </c>
    </row>
    <row r="18" spans="1:44" s="10" customFormat="1" x14ac:dyDescent="0.2">
      <c r="A18" s="10" t="s">
        <v>98</v>
      </c>
      <c r="B18" s="10">
        <f t="shared" ref="B18:R18" si="2">SUM(B15:B17)</f>
        <v>2385</v>
      </c>
      <c r="C18" s="10">
        <f t="shared" si="2"/>
        <v>-506</v>
      </c>
      <c r="D18" s="10">
        <f t="shared" si="2"/>
        <v>1987</v>
      </c>
      <c r="E18" s="10">
        <f t="shared" si="2"/>
        <v>-14</v>
      </c>
      <c r="F18" s="10">
        <f t="shared" si="2"/>
        <v>3852</v>
      </c>
      <c r="G18" s="10">
        <f t="shared" si="2"/>
        <v>2</v>
      </c>
      <c r="H18" s="10">
        <f t="shared" si="2"/>
        <v>-1</v>
      </c>
      <c r="I18" s="10">
        <f t="shared" si="2"/>
        <v>-11</v>
      </c>
      <c r="J18" s="10">
        <f t="shared" si="2"/>
        <v>-27</v>
      </c>
      <c r="K18" s="10">
        <f t="shared" si="2"/>
        <v>-37</v>
      </c>
      <c r="L18" s="10">
        <f t="shared" si="2"/>
        <v>6</v>
      </c>
      <c r="M18" s="10">
        <f t="shared" si="2"/>
        <v>-6</v>
      </c>
      <c r="N18" s="10">
        <f t="shared" si="2"/>
        <v>-2026</v>
      </c>
      <c r="O18" s="10">
        <f t="shared" si="2"/>
        <v>-3951</v>
      </c>
      <c r="P18" s="10">
        <f t="shared" si="2"/>
        <v>-5977</v>
      </c>
      <c r="Q18" s="10">
        <f t="shared" si="2"/>
        <v>-979</v>
      </c>
      <c r="R18" s="10">
        <f t="shared" si="2"/>
        <v>2497</v>
      </c>
      <c r="S18" s="10">
        <f t="shared" ref="S18" si="3">SUM(S15:S17)</f>
        <v>-1487</v>
      </c>
      <c r="T18" s="10">
        <f t="shared" ref="T18" si="4">SUM(T15:T17)</f>
        <v>-994</v>
      </c>
      <c r="U18" s="10">
        <f t="shared" ref="U18" si="5">SUM(U15:U17)</f>
        <v>-963</v>
      </c>
      <c r="V18" s="10">
        <f t="shared" ref="V18" si="6">SUM(V15:V17)</f>
        <v>22</v>
      </c>
      <c r="W18" s="10">
        <f t="shared" ref="W18" si="7">SUM(W15:W17)</f>
        <v>0</v>
      </c>
      <c r="X18" s="10">
        <f t="shared" ref="X18" si="8">SUM(X15:X17)</f>
        <v>3000</v>
      </c>
      <c r="Y18" s="10">
        <f t="shared" ref="Y18" si="9">SUM(Y15:Y17)</f>
        <v>-2000</v>
      </c>
      <c r="Z18" s="10">
        <f t="shared" ref="Z18" si="10">SUM(Z15:Z17)</f>
        <v>1022</v>
      </c>
      <c r="AA18" s="10">
        <f t="shared" ref="AA18" si="11">SUM(AA15:AA17)</f>
        <v>-1000</v>
      </c>
      <c r="AB18" s="10">
        <f t="shared" ref="AB18" si="12">SUM(AB15:AB17)</f>
        <v>1999</v>
      </c>
      <c r="AC18" s="10">
        <f t="shared" ref="AC18" si="13">SUM(AC15:AC17)</f>
        <v>3971</v>
      </c>
      <c r="AE18"/>
    </row>
    <row r="19" spans="1:44" s="9" customFormat="1" x14ac:dyDescent="0.2">
      <c r="AE19"/>
    </row>
    <row r="20" spans="1:44" x14ac:dyDescent="0.2">
      <c r="A20" t="s">
        <v>34</v>
      </c>
      <c r="C20">
        <v>10975</v>
      </c>
      <c r="D20">
        <v>10750</v>
      </c>
      <c r="E20">
        <v>6937</v>
      </c>
      <c r="F20">
        <v>28662</v>
      </c>
      <c r="G20">
        <v>6969</v>
      </c>
      <c r="K20">
        <v>6969</v>
      </c>
      <c r="O20">
        <v>6963</v>
      </c>
      <c r="P20">
        <v>6963</v>
      </c>
      <c r="Q20">
        <v>2210</v>
      </c>
      <c r="S20">
        <v>8425</v>
      </c>
      <c r="T20">
        <v>5456</v>
      </c>
      <c r="U20">
        <v>16091</v>
      </c>
      <c r="W20">
        <v>13923</v>
      </c>
      <c r="Y20">
        <v>6470</v>
      </c>
      <c r="Z20">
        <v>20393</v>
      </c>
    </row>
    <row r="21" spans="1:44" x14ac:dyDescent="0.2">
      <c r="A21" t="s">
        <v>35</v>
      </c>
      <c r="D21">
        <v>-3500</v>
      </c>
      <c r="F21">
        <v>-3500</v>
      </c>
      <c r="H21">
        <v>-500</v>
      </c>
      <c r="I21">
        <v>-6000</v>
      </c>
      <c r="K21">
        <v>-6500</v>
      </c>
      <c r="M21">
        <v>-2500</v>
      </c>
      <c r="N21">
        <v>-3000</v>
      </c>
      <c r="O21">
        <v>-3305</v>
      </c>
      <c r="P21">
        <v>-8805</v>
      </c>
      <c r="Q21">
        <v>-1000</v>
      </c>
      <c r="R21">
        <v>-4250</v>
      </c>
      <c r="S21">
        <v>-7379</v>
      </c>
      <c r="U21">
        <v>-12629</v>
      </c>
      <c r="V21">
        <v>-1000</v>
      </c>
      <c r="W21">
        <v>-3500</v>
      </c>
      <c r="X21">
        <v>-3000</v>
      </c>
      <c r="Y21">
        <v>-1250</v>
      </c>
      <c r="Z21">
        <v>-8750</v>
      </c>
      <c r="AB21">
        <v>-3750</v>
      </c>
      <c r="AC21">
        <v>-3000</v>
      </c>
    </row>
    <row r="22" spans="1:44" s="10" customFormat="1" x14ac:dyDescent="0.2">
      <c r="A22" s="10" t="s">
        <v>283</v>
      </c>
      <c r="B22" s="10">
        <f>SUM(B20:B21)</f>
        <v>0</v>
      </c>
      <c r="C22" s="10">
        <f t="shared" ref="C22:Y22" si="14">SUM(C20:C21)</f>
        <v>10975</v>
      </c>
      <c r="D22" s="10">
        <f t="shared" si="14"/>
        <v>7250</v>
      </c>
      <c r="E22" s="10">
        <f t="shared" si="14"/>
        <v>6937</v>
      </c>
      <c r="F22" s="10">
        <f t="shared" si="14"/>
        <v>25162</v>
      </c>
      <c r="G22" s="10">
        <f t="shared" si="14"/>
        <v>6969</v>
      </c>
      <c r="H22" s="10">
        <f t="shared" si="14"/>
        <v>-500</v>
      </c>
      <c r="I22" s="10">
        <f t="shared" si="14"/>
        <v>-6000</v>
      </c>
      <c r="J22" s="10">
        <f t="shared" si="14"/>
        <v>0</v>
      </c>
      <c r="K22" s="10">
        <f t="shared" si="14"/>
        <v>469</v>
      </c>
      <c r="L22" s="10">
        <f t="shared" si="14"/>
        <v>0</v>
      </c>
      <c r="M22" s="10">
        <f t="shared" si="14"/>
        <v>-2500</v>
      </c>
      <c r="N22" s="10">
        <f t="shared" si="14"/>
        <v>-3000</v>
      </c>
      <c r="O22" s="10">
        <f t="shared" si="14"/>
        <v>3658</v>
      </c>
      <c r="P22" s="10">
        <f t="shared" si="14"/>
        <v>-1842</v>
      </c>
      <c r="Q22" s="10">
        <f t="shared" si="14"/>
        <v>1210</v>
      </c>
      <c r="R22" s="10">
        <f t="shared" si="14"/>
        <v>-4250</v>
      </c>
      <c r="S22" s="10">
        <f t="shared" si="14"/>
        <v>1046</v>
      </c>
      <c r="T22" s="10">
        <f t="shared" si="14"/>
        <v>5456</v>
      </c>
      <c r="U22" s="10">
        <f t="shared" si="14"/>
        <v>3462</v>
      </c>
      <c r="V22" s="10">
        <f t="shared" si="14"/>
        <v>-1000</v>
      </c>
      <c r="W22" s="10">
        <f t="shared" si="14"/>
        <v>10423</v>
      </c>
      <c r="X22" s="10">
        <f t="shared" si="14"/>
        <v>-3000</v>
      </c>
      <c r="Y22" s="10">
        <f t="shared" si="14"/>
        <v>5220</v>
      </c>
      <c r="Z22" s="10">
        <f t="shared" ref="Z22" si="15">SUM(Z20:Z21)</f>
        <v>11643</v>
      </c>
      <c r="AA22" s="10">
        <f t="shared" ref="AA22" si="16">SUM(AA20:AA21)</f>
        <v>0</v>
      </c>
      <c r="AB22" s="10">
        <f t="shared" ref="AB22" si="17">SUM(AB20:AB21)</f>
        <v>-3750</v>
      </c>
      <c r="AC22" s="10">
        <f t="shared" ref="AC22" si="18">SUM(AC20:AC21)</f>
        <v>-3000</v>
      </c>
    </row>
    <row r="24" spans="1:44" s="10" customFormat="1" x14ac:dyDescent="0.2">
      <c r="A24" s="10" t="s">
        <v>93</v>
      </c>
      <c r="B24" s="10">
        <f>SUM(B18:B21)</f>
        <v>2385</v>
      </c>
      <c r="C24" s="10">
        <f t="shared" ref="C24:AC24" si="19">SUM(C18:C21)</f>
        <v>10469</v>
      </c>
      <c r="D24" s="10">
        <f t="shared" si="19"/>
        <v>9237</v>
      </c>
      <c r="E24" s="10">
        <f t="shared" si="19"/>
        <v>6923</v>
      </c>
      <c r="F24" s="10">
        <f t="shared" si="19"/>
        <v>29014</v>
      </c>
      <c r="G24" s="10">
        <f t="shared" si="19"/>
        <v>6971</v>
      </c>
      <c r="H24" s="10">
        <f t="shared" si="19"/>
        <v>-501</v>
      </c>
      <c r="I24" s="10">
        <f t="shared" si="19"/>
        <v>-6011</v>
      </c>
      <c r="J24" s="10">
        <f t="shared" si="19"/>
        <v>-27</v>
      </c>
      <c r="K24" s="10">
        <f t="shared" si="19"/>
        <v>432</v>
      </c>
      <c r="L24" s="10">
        <f t="shared" si="19"/>
        <v>6</v>
      </c>
      <c r="M24" s="10">
        <f t="shared" si="19"/>
        <v>-2506</v>
      </c>
      <c r="N24" s="10">
        <f t="shared" si="19"/>
        <v>-5026</v>
      </c>
      <c r="O24" s="10">
        <f t="shared" si="19"/>
        <v>-293</v>
      </c>
      <c r="P24" s="10">
        <f t="shared" si="19"/>
        <v>-7819</v>
      </c>
      <c r="Q24" s="10">
        <f t="shared" si="19"/>
        <v>231</v>
      </c>
      <c r="R24" s="10">
        <f>SUM(R18:R21)</f>
        <v>-1753</v>
      </c>
      <c r="S24" s="10">
        <f t="shared" si="19"/>
        <v>-441</v>
      </c>
      <c r="T24" s="10">
        <f t="shared" si="19"/>
        <v>4462</v>
      </c>
      <c r="U24" s="10">
        <f t="shared" si="19"/>
        <v>2499</v>
      </c>
      <c r="V24" s="10">
        <f t="shared" si="19"/>
        <v>-978</v>
      </c>
      <c r="W24" s="10">
        <f t="shared" si="19"/>
        <v>10423</v>
      </c>
      <c r="X24" s="10">
        <f t="shared" si="19"/>
        <v>0</v>
      </c>
      <c r="Y24" s="10">
        <f t="shared" si="19"/>
        <v>3220</v>
      </c>
      <c r="Z24" s="10">
        <f>SUM(Z18:Z21)</f>
        <v>12665</v>
      </c>
      <c r="AA24" s="10">
        <f t="shared" si="19"/>
        <v>-1000</v>
      </c>
      <c r="AB24" s="10">
        <f t="shared" si="19"/>
        <v>-1751</v>
      </c>
      <c r="AC24" s="10">
        <f t="shared" si="19"/>
        <v>971</v>
      </c>
    </row>
    <row r="25" spans="1:44" s="9" customFormat="1" x14ac:dyDescent="0.2"/>
    <row r="26" spans="1:44" s="9" customFormat="1" x14ac:dyDescent="0.2">
      <c r="A26" s="9" t="s">
        <v>8</v>
      </c>
      <c r="M26" s="9">
        <v>-87</v>
      </c>
      <c r="N26" s="9">
        <v>4</v>
      </c>
      <c r="O26" s="9">
        <v>-22</v>
      </c>
      <c r="P26" s="9">
        <v>-105</v>
      </c>
      <c r="Q26" s="9">
        <v>-16</v>
      </c>
      <c r="R26" s="9">
        <v>-35</v>
      </c>
      <c r="S26" s="9">
        <v>-69</v>
      </c>
      <c r="T26" s="9">
        <v>-6</v>
      </c>
      <c r="U26" s="9">
        <v>-126</v>
      </c>
      <c r="V26" s="9">
        <v>-22</v>
      </c>
      <c r="W26" s="9">
        <v>-16</v>
      </c>
      <c r="X26" s="9">
        <v>-34</v>
      </c>
      <c r="Y26" s="9">
        <v>-57</v>
      </c>
      <c r="Z26" s="9">
        <v>-129</v>
      </c>
      <c r="AA26" s="9">
        <v>-61</v>
      </c>
      <c r="AB26" s="9">
        <v>-44</v>
      </c>
      <c r="AC26" s="9">
        <v>-43</v>
      </c>
      <c r="AK26" s="9">
        <v>-87</v>
      </c>
      <c r="AL26" s="9">
        <v>-83</v>
      </c>
      <c r="AM26" s="9">
        <v>-51</v>
      </c>
      <c r="AN26" s="9">
        <v>-120</v>
      </c>
      <c r="AO26" s="9">
        <v>-38</v>
      </c>
      <c r="AP26" s="9">
        <v>-72</v>
      </c>
      <c r="AQ26" s="9">
        <v>-105</v>
      </c>
      <c r="AR26" s="9">
        <v>-148</v>
      </c>
    </row>
    <row r="27" spans="1:44" s="10" customFormat="1" x14ac:dyDescent="0.2">
      <c r="A27" s="10" t="s">
        <v>114</v>
      </c>
      <c r="B27" s="10">
        <f>SUM(B26)</f>
        <v>0</v>
      </c>
      <c r="C27" s="10">
        <f t="shared" ref="C27:AC27" si="20">SUM(C26)</f>
        <v>0</v>
      </c>
      <c r="D27" s="10">
        <f t="shared" si="20"/>
        <v>0</v>
      </c>
      <c r="E27" s="10">
        <f t="shared" si="20"/>
        <v>0</v>
      </c>
      <c r="F27" s="10">
        <f t="shared" si="20"/>
        <v>0</v>
      </c>
      <c r="G27" s="10">
        <f t="shared" si="20"/>
        <v>0</v>
      </c>
      <c r="H27" s="10">
        <f t="shared" si="20"/>
        <v>0</v>
      </c>
      <c r="I27" s="10">
        <f t="shared" si="20"/>
        <v>0</v>
      </c>
      <c r="J27" s="10">
        <f t="shared" si="20"/>
        <v>0</v>
      </c>
      <c r="K27" s="10">
        <f t="shared" si="20"/>
        <v>0</v>
      </c>
      <c r="L27" s="10">
        <f t="shared" si="20"/>
        <v>0</v>
      </c>
      <c r="M27" s="10">
        <f t="shared" si="20"/>
        <v>-87</v>
      </c>
      <c r="N27" s="10">
        <f t="shared" si="20"/>
        <v>4</v>
      </c>
      <c r="O27" s="10">
        <f t="shared" si="20"/>
        <v>-22</v>
      </c>
      <c r="P27" s="10">
        <f t="shared" si="20"/>
        <v>-105</v>
      </c>
      <c r="Q27" s="10">
        <f t="shared" si="20"/>
        <v>-16</v>
      </c>
      <c r="R27" s="10">
        <f>SUM(R26)</f>
        <v>-35</v>
      </c>
      <c r="S27" s="10">
        <f t="shared" si="20"/>
        <v>-69</v>
      </c>
      <c r="T27" s="10">
        <f t="shared" si="20"/>
        <v>-6</v>
      </c>
      <c r="U27" s="10">
        <f t="shared" si="20"/>
        <v>-126</v>
      </c>
      <c r="V27" s="10">
        <f t="shared" si="20"/>
        <v>-22</v>
      </c>
      <c r="W27" s="10">
        <f t="shared" si="20"/>
        <v>-16</v>
      </c>
      <c r="X27" s="10">
        <f t="shared" si="20"/>
        <v>-34</v>
      </c>
      <c r="Y27" s="10">
        <f t="shared" si="20"/>
        <v>-57</v>
      </c>
      <c r="Z27" s="10">
        <f t="shared" si="20"/>
        <v>-129</v>
      </c>
      <c r="AA27" s="10">
        <f t="shared" si="20"/>
        <v>-61</v>
      </c>
      <c r="AB27" s="10">
        <f t="shared" si="20"/>
        <v>-44</v>
      </c>
      <c r="AC27" s="10">
        <f t="shared" si="20"/>
        <v>-43</v>
      </c>
    </row>
    <row r="29" spans="1:44" s="10" customFormat="1" x14ac:dyDescent="0.2">
      <c r="A29" s="10" t="s">
        <v>38</v>
      </c>
      <c r="B29" s="10">
        <v>-12047</v>
      </c>
      <c r="C29" s="10">
        <v>465</v>
      </c>
      <c r="D29" s="10">
        <v>-1769</v>
      </c>
      <c r="E29" s="10">
        <v>-3996</v>
      </c>
      <c r="F29" s="10">
        <v>-17347</v>
      </c>
      <c r="G29" s="10">
        <v>-7501</v>
      </c>
      <c r="H29" s="10">
        <v>-26272</v>
      </c>
      <c r="I29" s="10">
        <v>-31523</v>
      </c>
      <c r="J29" s="10">
        <v>-22580</v>
      </c>
      <c r="K29" s="10">
        <v>-87876</v>
      </c>
      <c r="L29" s="10">
        <v>-13676</v>
      </c>
      <c r="M29" s="10">
        <v>-29457</v>
      </c>
      <c r="N29" s="10">
        <v>-26804</v>
      </c>
      <c r="O29" s="10">
        <v>-21039</v>
      </c>
      <c r="P29" s="10">
        <v>-90976</v>
      </c>
      <c r="Q29" s="10">
        <v>-25407</v>
      </c>
      <c r="R29" s="10">
        <v>-20940</v>
      </c>
      <c r="S29" s="10">
        <v>-19116</v>
      </c>
      <c r="T29" s="10">
        <v>-21357</v>
      </c>
      <c r="U29" s="10">
        <v>-86820</v>
      </c>
      <c r="V29" s="10">
        <v>-32249</v>
      </c>
      <c r="W29" s="10">
        <v>-11326</v>
      </c>
      <c r="X29" s="10">
        <v>-29396</v>
      </c>
      <c r="Y29" s="10">
        <v>-20382</v>
      </c>
      <c r="Z29" s="10">
        <v>-93353</v>
      </c>
      <c r="AA29" s="10">
        <v>-28159</v>
      </c>
      <c r="AB29" s="10">
        <v>-28351</v>
      </c>
      <c r="AC29" s="10">
        <v>-27445</v>
      </c>
    </row>
    <row r="31" spans="1:44" ht="17" customHeight="1" x14ac:dyDescent="0.2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1C3F2-4096-B043-BB23-1F0DFF9CC014}">
  <sheetPr codeName="Sheet6"/>
  <dimension ref="A1:AR2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17" sqref="K17"/>
    </sheetView>
  </sheetViews>
  <sheetFormatPr baseColWidth="10" defaultRowHeight="16" x14ac:dyDescent="0.2"/>
  <cols>
    <col min="1" max="1" width="57" customWidth="1"/>
  </cols>
  <sheetData>
    <row r="1" spans="1:44" x14ac:dyDescent="0.2">
      <c r="A1" s="4"/>
      <c r="B1" s="4" t="s">
        <v>73</v>
      </c>
      <c r="C1" s="4" t="s">
        <v>44</v>
      </c>
      <c r="D1" s="4" t="s">
        <v>45</v>
      </c>
      <c r="E1" s="4" t="s">
        <v>68</v>
      </c>
      <c r="F1" s="4" t="s">
        <v>46</v>
      </c>
      <c r="G1" s="4" t="s">
        <v>74</v>
      </c>
      <c r="H1" s="4" t="s">
        <v>47</v>
      </c>
      <c r="I1" s="4" t="s">
        <v>48</v>
      </c>
      <c r="J1" s="4" t="s">
        <v>69</v>
      </c>
      <c r="K1" s="4" t="s">
        <v>49</v>
      </c>
      <c r="L1" s="4" t="s">
        <v>75</v>
      </c>
      <c r="M1" s="4" t="s">
        <v>50</v>
      </c>
      <c r="N1" s="4" t="s">
        <v>51</v>
      </c>
      <c r="O1" s="4" t="s">
        <v>70</v>
      </c>
      <c r="P1" s="4" t="s">
        <v>52</v>
      </c>
      <c r="Q1" s="4" t="s">
        <v>76</v>
      </c>
      <c r="R1" s="4" t="s">
        <v>53</v>
      </c>
      <c r="S1" s="4" t="s">
        <v>54</v>
      </c>
      <c r="T1" s="4" t="s">
        <v>71</v>
      </c>
      <c r="U1" s="4" t="s">
        <v>55</v>
      </c>
      <c r="V1" s="4" t="s">
        <v>77</v>
      </c>
      <c r="W1" s="4" t="s">
        <v>56</v>
      </c>
      <c r="X1" s="4" t="s">
        <v>57</v>
      </c>
      <c r="Y1" s="4" t="s">
        <v>72</v>
      </c>
      <c r="Z1" s="4" t="s">
        <v>58</v>
      </c>
      <c r="AA1" s="4" t="s">
        <v>78</v>
      </c>
      <c r="AB1" s="4" t="s">
        <v>59</v>
      </c>
      <c r="AC1" s="4" t="s">
        <v>60</v>
      </c>
    </row>
    <row r="2" spans="1:44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</row>
    <row r="3" spans="1:44" x14ac:dyDescent="0.2">
      <c r="A3" t="s">
        <v>18</v>
      </c>
    </row>
    <row r="4" spans="1:44" x14ac:dyDescent="0.2">
      <c r="A4" t="s">
        <v>17</v>
      </c>
      <c r="B4">
        <v>-3334</v>
      </c>
      <c r="C4">
        <v>-2975</v>
      </c>
      <c r="D4">
        <v>-2277</v>
      </c>
      <c r="E4">
        <v>-3865</v>
      </c>
      <c r="F4">
        <v>-12451</v>
      </c>
      <c r="G4">
        <v>-2810</v>
      </c>
      <c r="H4">
        <v>-4195</v>
      </c>
      <c r="I4">
        <v>-3267</v>
      </c>
      <c r="J4">
        <v>-3041</v>
      </c>
      <c r="K4">
        <v>-13313</v>
      </c>
      <c r="L4">
        <v>-3355</v>
      </c>
      <c r="M4">
        <v>-2363</v>
      </c>
      <c r="N4">
        <v>-2000</v>
      </c>
      <c r="O4">
        <v>-2777</v>
      </c>
      <c r="P4">
        <v>-10495</v>
      </c>
      <c r="Q4">
        <v>-2107</v>
      </c>
      <c r="R4">
        <v>-1853</v>
      </c>
      <c r="S4">
        <v>-1565</v>
      </c>
      <c r="T4">
        <v>-1784</v>
      </c>
      <c r="U4">
        <v>-7309</v>
      </c>
      <c r="V4">
        <v>-3500</v>
      </c>
      <c r="W4">
        <v>-2269</v>
      </c>
      <c r="X4">
        <v>-2093</v>
      </c>
      <c r="Y4">
        <v>-3223</v>
      </c>
      <c r="Z4">
        <v>-11085</v>
      </c>
      <c r="AA4">
        <v>-2803</v>
      </c>
      <c r="AB4">
        <v>-2514</v>
      </c>
      <c r="AC4">
        <v>-2102</v>
      </c>
    </row>
    <row r="5" spans="1:44" s="10" customFormat="1" x14ac:dyDescent="0.2">
      <c r="A5" s="10" t="s">
        <v>88</v>
      </c>
      <c r="B5" s="10">
        <f>B4</f>
        <v>-3334</v>
      </c>
      <c r="C5" s="10">
        <f t="shared" ref="C5:AC5" si="0">C4</f>
        <v>-2975</v>
      </c>
      <c r="D5" s="10">
        <f t="shared" si="0"/>
        <v>-2277</v>
      </c>
      <c r="E5" s="10">
        <f t="shared" si="0"/>
        <v>-3865</v>
      </c>
      <c r="F5" s="10">
        <f t="shared" si="0"/>
        <v>-12451</v>
      </c>
      <c r="G5" s="10">
        <f t="shared" si="0"/>
        <v>-2810</v>
      </c>
      <c r="H5" s="10">
        <f t="shared" si="0"/>
        <v>-4195</v>
      </c>
      <c r="I5" s="10">
        <f t="shared" si="0"/>
        <v>-3267</v>
      </c>
      <c r="J5" s="10">
        <f t="shared" si="0"/>
        <v>-3041</v>
      </c>
      <c r="K5" s="10">
        <f t="shared" si="0"/>
        <v>-13313</v>
      </c>
      <c r="L5" s="10">
        <f t="shared" si="0"/>
        <v>-3355</v>
      </c>
      <c r="M5" s="10">
        <f t="shared" si="0"/>
        <v>-2363</v>
      </c>
      <c r="N5" s="10">
        <f t="shared" si="0"/>
        <v>-2000</v>
      </c>
      <c r="O5" s="10">
        <f t="shared" si="0"/>
        <v>-2777</v>
      </c>
      <c r="P5" s="10">
        <f t="shared" si="0"/>
        <v>-10495</v>
      </c>
      <c r="Q5" s="10">
        <f t="shared" si="0"/>
        <v>-2107</v>
      </c>
      <c r="R5" s="10">
        <f t="shared" si="0"/>
        <v>-1853</v>
      </c>
      <c r="S5" s="10">
        <f t="shared" si="0"/>
        <v>-1565</v>
      </c>
      <c r="T5" s="10">
        <f t="shared" si="0"/>
        <v>-1784</v>
      </c>
      <c r="U5" s="10">
        <f t="shared" si="0"/>
        <v>-7309</v>
      </c>
      <c r="V5" s="10">
        <f t="shared" si="0"/>
        <v>-3500</v>
      </c>
      <c r="W5" s="10">
        <f t="shared" si="0"/>
        <v>-2269</v>
      </c>
      <c r="X5" s="10">
        <f t="shared" si="0"/>
        <v>-2093</v>
      </c>
      <c r="Y5" s="10">
        <f t="shared" si="0"/>
        <v>-3223</v>
      </c>
      <c r="Z5" s="10">
        <f t="shared" si="0"/>
        <v>-11085</v>
      </c>
      <c r="AA5" s="10">
        <f t="shared" si="0"/>
        <v>-2803</v>
      </c>
      <c r="AB5" s="10">
        <f t="shared" si="0"/>
        <v>-2514</v>
      </c>
      <c r="AC5" s="10">
        <f t="shared" si="0"/>
        <v>-2102</v>
      </c>
    </row>
    <row r="7" spans="1:44" x14ac:dyDescent="0.2">
      <c r="A7" t="s">
        <v>22</v>
      </c>
      <c r="B7">
        <v>-17</v>
      </c>
      <c r="C7">
        <v>-50</v>
      </c>
      <c r="D7">
        <v>-181</v>
      </c>
      <c r="E7">
        <v>-81</v>
      </c>
      <c r="F7">
        <v>-329</v>
      </c>
      <c r="G7">
        <v>-173</v>
      </c>
      <c r="H7">
        <v>173</v>
      </c>
    </row>
    <row r="8" spans="1:44" x14ac:dyDescent="0.2">
      <c r="A8" t="s">
        <v>22</v>
      </c>
      <c r="H8">
        <v>-305</v>
      </c>
      <c r="I8">
        <v>-126</v>
      </c>
      <c r="J8">
        <v>-290</v>
      </c>
      <c r="K8">
        <v>-721</v>
      </c>
      <c r="L8">
        <v>-167</v>
      </c>
      <c r="M8">
        <v>-124</v>
      </c>
      <c r="N8">
        <v>-320</v>
      </c>
      <c r="O8">
        <v>-13</v>
      </c>
      <c r="P8">
        <v>-624</v>
      </c>
      <c r="Q8">
        <v>-958</v>
      </c>
      <c r="R8">
        <v>-176</v>
      </c>
      <c r="S8">
        <v>-339</v>
      </c>
      <c r="T8">
        <v>-51</v>
      </c>
      <c r="U8">
        <v>-1524</v>
      </c>
      <c r="V8">
        <v>-9</v>
      </c>
      <c r="X8">
        <v>-4</v>
      </c>
      <c r="Y8">
        <v>-20</v>
      </c>
      <c r="Z8">
        <v>-33</v>
      </c>
      <c r="AB8">
        <v>-167</v>
      </c>
      <c r="AC8">
        <v>-2</v>
      </c>
    </row>
    <row r="9" spans="1:44" x14ac:dyDescent="0.2">
      <c r="A9" t="s">
        <v>24</v>
      </c>
      <c r="B9">
        <v>-86</v>
      </c>
      <c r="C9">
        <v>-40</v>
      </c>
      <c r="D9">
        <v>-83</v>
      </c>
      <c r="E9">
        <v>-135</v>
      </c>
      <c r="F9">
        <v>-344</v>
      </c>
      <c r="G9">
        <v>-154</v>
      </c>
      <c r="H9">
        <v>154</v>
      </c>
    </row>
    <row r="10" spans="1:44" x14ac:dyDescent="0.2">
      <c r="A10" t="s">
        <v>26</v>
      </c>
      <c r="D10">
        <v>-87</v>
      </c>
      <c r="E10">
        <v>-308</v>
      </c>
      <c r="F10">
        <v>-395</v>
      </c>
      <c r="G10">
        <v>-94</v>
      </c>
      <c r="H10">
        <v>94</v>
      </c>
    </row>
    <row r="11" spans="1:44" x14ac:dyDescent="0.2">
      <c r="A11" t="s">
        <v>27</v>
      </c>
    </row>
    <row r="12" spans="1:44" s="10" customFormat="1" x14ac:dyDescent="0.2">
      <c r="A12" s="10" t="s">
        <v>101</v>
      </c>
      <c r="B12" s="10">
        <f>SUM(B7:B11)</f>
        <v>-103</v>
      </c>
      <c r="C12" s="10">
        <f t="shared" ref="C12:AC12" si="1">SUM(C7:C11)</f>
        <v>-90</v>
      </c>
      <c r="D12" s="10">
        <f t="shared" si="1"/>
        <v>-351</v>
      </c>
      <c r="E12" s="10">
        <f t="shared" si="1"/>
        <v>-524</v>
      </c>
      <c r="F12" s="10">
        <f t="shared" si="1"/>
        <v>-1068</v>
      </c>
      <c r="G12" s="10">
        <f t="shared" si="1"/>
        <v>-421</v>
      </c>
      <c r="H12" s="10">
        <f t="shared" si="1"/>
        <v>116</v>
      </c>
      <c r="I12" s="10">
        <f t="shared" si="1"/>
        <v>-126</v>
      </c>
      <c r="J12" s="10">
        <f t="shared" si="1"/>
        <v>-290</v>
      </c>
      <c r="K12" s="10">
        <f t="shared" si="1"/>
        <v>-721</v>
      </c>
      <c r="L12" s="10">
        <f t="shared" si="1"/>
        <v>-167</v>
      </c>
      <c r="M12" s="10">
        <f t="shared" si="1"/>
        <v>-124</v>
      </c>
      <c r="N12" s="10">
        <f t="shared" si="1"/>
        <v>-320</v>
      </c>
      <c r="O12" s="10">
        <f t="shared" si="1"/>
        <v>-13</v>
      </c>
      <c r="P12" s="10">
        <f t="shared" si="1"/>
        <v>-624</v>
      </c>
      <c r="Q12" s="10">
        <f t="shared" si="1"/>
        <v>-958</v>
      </c>
      <c r="R12" s="10">
        <f t="shared" si="1"/>
        <v>-176</v>
      </c>
      <c r="S12" s="10">
        <f t="shared" si="1"/>
        <v>-339</v>
      </c>
      <c r="T12" s="10">
        <f t="shared" si="1"/>
        <v>-51</v>
      </c>
      <c r="U12" s="10">
        <f t="shared" si="1"/>
        <v>-1524</v>
      </c>
      <c r="V12" s="10">
        <f t="shared" si="1"/>
        <v>-9</v>
      </c>
      <c r="W12" s="10">
        <f t="shared" si="1"/>
        <v>0</v>
      </c>
      <c r="X12" s="10">
        <f t="shared" si="1"/>
        <v>-4</v>
      </c>
      <c r="Y12" s="10">
        <f t="shared" si="1"/>
        <v>-20</v>
      </c>
      <c r="Z12" s="10">
        <f t="shared" si="1"/>
        <v>-33</v>
      </c>
      <c r="AA12" s="10">
        <f t="shared" si="1"/>
        <v>0</v>
      </c>
      <c r="AB12" s="10">
        <f t="shared" si="1"/>
        <v>-167</v>
      </c>
      <c r="AC12" s="10">
        <f t="shared" si="1"/>
        <v>-2</v>
      </c>
    </row>
    <row r="14" spans="1:44" x14ac:dyDescent="0.2">
      <c r="A14" t="s">
        <v>19</v>
      </c>
      <c r="B14">
        <v>-54272</v>
      </c>
      <c r="C14">
        <v>-45549</v>
      </c>
      <c r="D14">
        <v>-23960</v>
      </c>
      <c r="E14">
        <v>-35705</v>
      </c>
      <c r="F14">
        <v>-159486</v>
      </c>
      <c r="G14">
        <v>-41272</v>
      </c>
      <c r="H14">
        <v>-7177</v>
      </c>
      <c r="I14">
        <v>-7684</v>
      </c>
      <c r="J14">
        <v>-15223</v>
      </c>
      <c r="K14">
        <v>-71356</v>
      </c>
      <c r="L14">
        <v>-7077</v>
      </c>
      <c r="M14">
        <v>-6777</v>
      </c>
      <c r="N14">
        <v>-8048</v>
      </c>
      <c r="O14">
        <v>-17728</v>
      </c>
      <c r="P14">
        <v>-39630</v>
      </c>
      <c r="Q14">
        <v>-37416</v>
      </c>
      <c r="R14">
        <v>-29073</v>
      </c>
      <c r="S14">
        <v>-30117</v>
      </c>
      <c r="T14">
        <v>-18332</v>
      </c>
      <c r="U14">
        <v>-114938</v>
      </c>
      <c r="V14">
        <v>-39800</v>
      </c>
      <c r="W14">
        <v>-34624</v>
      </c>
      <c r="X14">
        <v>-19628</v>
      </c>
      <c r="Y14">
        <v>-15506</v>
      </c>
      <c r="Z14">
        <v>-109558</v>
      </c>
      <c r="AA14">
        <v>-34913</v>
      </c>
      <c r="AB14">
        <v>-27074</v>
      </c>
      <c r="AC14">
        <v>-8191</v>
      </c>
    </row>
    <row r="15" spans="1:44" x14ac:dyDescent="0.2">
      <c r="A15" t="s">
        <v>20</v>
      </c>
      <c r="B15">
        <v>6525</v>
      </c>
      <c r="C15">
        <v>5904</v>
      </c>
      <c r="D15">
        <v>6918</v>
      </c>
      <c r="E15">
        <v>12428</v>
      </c>
      <c r="F15">
        <v>31775</v>
      </c>
      <c r="G15">
        <v>14048</v>
      </c>
      <c r="H15">
        <v>17836</v>
      </c>
      <c r="I15">
        <v>14406</v>
      </c>
      <c r="J15">
        <v>9591</v>
      </c>
      <c r="K15">
        <v>55881</v>
      </c>
      <c r="L15">
        <v>7203</v>
      </c>
      <c r="M15">
        <v>9677</v>
      </c>
      <c r="N15">
        <v>9903</v>
      </c>
      <c r="O15">
        <v>13319</v>
      </c>
      <c r="P15">
        <v>40102</v>
      </c>
      <c r="Q15">
        <v>19740</v>
      </c>
      <c r="R15">
        <v>19998</v>
      </c>
      <c r="S15">
        <v>15127</v>
      </c>
      <c r="T15">
        <v>15053</v>
      </c>
      <c r="U15">
        <v>69918</v>
      </c>
      <c r="V15">
        <v>25177</v>
      </c>
      <c r="W15">
        <v>14428</v>
      </c>
      <c r="X15">
        <v>10275</v>
      </c>
      <c r="Y15">
        <v>9143</v>
      </c>
      <c r="Z15">
        <v>59023</v>
      </c>
      <c r="AA15">
        <v>11309</v>
      </c>
      <c r="AB15">
        <v>6691</v>
      </c>
      <c r="AC15">
        <v>6203</v>
      </c>
    </row>
    <row r="16" spans="1:44" x14ac:dyDescent="0.2">
      <c r="A16" t="s">
        <v>21</v>
      </c>
      <c r="B16">
        <v>32166</v>
      </c>
      <c r="C16">
        <v>28288</v>
      </c>
      <c r="D16">
        <v>16293</v>
      </c>
      <c r="E16">
        <v>17817</v>
      </c>
      <c r="F16">
        <v>94564</v>
      </c>
      <c r="G16">
        <v>16801</v>
      </c>
      <c r="H16">
        <v>22141</v>
      </c>
      <c r="I16">
        <v>2672</v>
      </c>
      <c r="J16">
        <v>6224</v>
      </c>
      <c r="K16">
        <v>47838</v>
      </c>
      <c r="L16">
        <v>9723</v>
      </c>
      <c r="M16">
        <v>12912</v>
      </c>
      <c r="N16">
        <v>26881</v>
      </c>
      <c r="O16">
        <v>7472</v>
      </c>
      <c r="P16">
        <v>56988</v>
      </c>
      <c r="Q16">
        <v>7280</v>
      </c>
      <c r="R16">
        <v>20482</v>
      </c>
      <c r="S16">
        <v>11998</v>
      </c>
      <c r="T16">
        <v>10713</v>
      </c>
      <c r="U16">
        <v>50473</v>
      </c>
      <c r="V16">
        <v>9344</v>
      </c>
      <c r="W16">
        <v>12301</v>
      </c>
      <c r="X16">
        <v>15100</v>
      </c>
      <c r="Y16">
        <v>10715</v>
      </c>
      <c r="Z16">
        <v>47460</v>
      </c>
      <c r="AA16">
        <v>10675</v>
      </c>
      <c r="AB16">
        <v>13993</v>
      </c>
      <c r="AC16">
        <v>8941</v>
      </c>
    </row>
    <row r="17" spans="1:29" s="10" customFormat="1" x14ac:dyDescent="0.2">
      <c r="A17" s="10" t="s">
        <v>280</v>
      </c>
      <c r="B17" s="10">
        <f>SUM(B14:B16)</f>
        <v>-15581</v>
      </c>
      <c r="C17" s="10">
        <f t="shared" ref="C17:AC17" si="2">SUM(C14:C16)</f>
        <v>-11357</v>
      </c>
      <c r="D17" s="10">
        <f t="shared" si="2"/>
        <v>-749</v>
      </c>
      <c r="E17" s="10">
        <f t="shared" si="2"/>
        <v>-5460</v>
      </c>
      <c r="F17" s="10">
        <f t="shared" si="2"/>
        <v>-33147</v>
      </c>
      <c r="G17" s="10">
        <f t="shared" si="2"/>
        <v>-10423</v>
      </c>
      <c r="H17" s="10">
        <f t="shared" si="2"/>
        <v>32800</v>
      </c>
      <c r="I17" s="10">
        <f t="shared" si="2"/>
        <v>9394</v>
      </c>
      <c r="J17" s="10">
        <f t="shared" si="2"/>
        <v>592</v>
      </c>
      <c r="K17" s="10">
        <f t="shared" si="2"/>
        <v>32363</v>
      </c>
      <c r="L17" s="10">
        <f t="shared" si="2"/>
        <v>9849</v>
      </c>
      <c r="M17" s="10">
        <f t="shared" si="2"/>
        <v>15812</v>
      </c>
      <c r="N17" s="10">
        <f t="shared" si="2"/>
        <v>28736</v>
      </c>
      <c r="O17" s="10">
        <f t="shared" si="2"/>
        <v>3063</v>
      </c>
      <c r="P17" s="10">
        <f t="shared" si="2"/>
        <v>57460</v>
      </c>
      <c r="Q17" s="10">
        <f t="shared" si="2"/>
        <v>-10396</v>
      </c>
      <c r="R17" s="10">
        <f t="shared" si="2"/>
        <v>11407</v>
      </c>
      <c r="S17" s="10">
        <f t="shared" si="2"/>
        <v>-2992</v>
      </c>
      <c r="T17" s="10">
        <f t="shared" si="2"/>
        <v>7434</v>
      </c>
      <c r="U17" s="10">
        <f t="shared" si="2"/>
        <v>5453</v>
      </c>
      <c r="V17" s="10">
        <f t="shared" si="2"/>
        <v>-5279</v>
      </c>
      <c r="W17" s="10">
        <f t="shared" si="2"/>
        <v>-7895</v>
      </c>
      <c r="X17" s="10">
        <f t="shared" si="2"/>
        <v>5747</v>
      </c>
      <c r="Y17" s="10">
        <f t="shared" si="2"/>
        <v>4352</v>
      </c>
      <c r="Z17" s="10">
        <f t="shared" si="2"/>
        <v>-3075</v>
      </c>
      <c r="AA17" s="10">
        <f t="shared" si="2"/>
        <v>-12929</v>
      </c>
      <c r="AB17" s="10">
        <f t="shared" si="2"/>
        <v>-6390</v>
      </c>
      <c r="AC17" s="10">
        <f t="shared" si="2"/>
        <v>6953</v>
      </c>
    </row>
    <row r="19" spans="1:29" x14ac:dyDescent="0.2">
      <c r="A19" t="s">
        <v>23</v>
      </c>
      <c r="I19">
        <v>-1788</v>
      </c>
      <c r="J19">
        <v>-83</v>
      </c>
      <c r="K19">
        <v>-1871</v>
      </c>
      <c r="L19">
        <v>-427</v>
      </c>
      <c r="M19">
        <v>-63</v>
      </c>
      <c r="N19">
        <v>-142</v>
      </c>
      <c r="O19">
        <v>-369</v>
      </c>
      <c r="P19">
        <v>-1001</v>
      </c>
      <c r="Q19">
        <v>-77</v>
      </c>
      <c r="R19">
        <v>-69</v>
      </c>
      <c r="S19">
        <v>-64</v>
      </c>
      <c r="U19">
        <v>-210</v>
      </c>
      <c r="Y19">
        <v>-131</v>
      </c>
      <c r="Z19">
        <v>-131</v>
      </c>
    </row>
    <row r="20" spans="1:29" x14ac:dyDescent="0.2">
      <c r="A20" t="s">
        <v>25</v>
      </c>
      <c r="I20">
        <v>310</v>
      </c>
      <c r="J20">
        <v>43</v>
      </c>
      <c r="K20">
        <v>353</v>
      </c>
      <c r="N20">
        <v>1526</v>
      </c>
      <c r="O20">
        <v>108</v>
      </c>
      <c r="P20">
        <v>1634</v>
      </c>
      <c r="S20">
        <v>58</v>
      </c>
      <c r="T20">
        <v>34</v>
      </c>
      <c r="U20">
        <v>92</v>
      </c>
      <c r="Y20">
        <v>387</v>
      </c>
      <c r="Z20">
        <v>387</v>
      </c>
    </row>
    <row r="21" spans="1:29" s="10" customFormat="1" x14ac:dyDescent="0.2">
      <c r="A21" s="10" t="s">
        <v>281</v>
      </c>
      <c r="B21" s="10">
        <f>SUM(B18:B20)</f>
        <v>0</v>
      </c>
      <c r="C21" s="10">
        <f t="shared" ref="C21:AC21" si="3">SUM(C18:C20)</f>
        <v>0</v>
      </c>
      <c r="D21" s="10">
        <f t="shared" si="3"/>
        <v>0</v>
      </c>
      <c r="E21" s="10">
        <f t="shared" si="3"/>
        <v>0</v>
      </c>
      <c r="F21" s="10">
        <f t="shared" si="3"/>
        <v>0</v>
      </c>
      <c r="G21" s="10">
        <f t="shared" si="3"/>
        <v>0</v>
      </c>
      <c r="H21" s="10">
        <f t="shared" si="3"/>
        <v>0</v>
      </c>
      <c r="I21" s="10">
        <f t="shared" si="3"/>
        <v>-1478</v>
      </c>
      <c r="J21" s="10">
        <f t="shared" si="3"/>
        <v>-40</v>
      </c>
      <c r="K21" s="10">
        <f t="shared" si="3"/>
        <v>-1518</v>
      </c>
      <c r="L21" s="10">
        <f t="shared" si="3"/>
        <v>-427</v>
      </c>
      <c r="M21" s="10">
        <f t="shared" si="3"/>
        <v>-63</v>
      </c>
      <c r="N21" s="10">
        <f t="shared" si="3"/>
        <v>1384</v>
      </c>
      <c r="O21" s="10">
        <f t="shared" si="3"/>
        <v>-261</v>
      </c>
      <c r="P21" s="10">
        <f t="shared" si="3"/>
        <v>633</v>
      </c>
      <c r="Q21" s="10">
        <f t="shared" si="3"/>
        <v>-77</v>
      </c>
      <c r="R21" s="10">
        <f t="shared" si="3"/>
        <v>-69</v>
      </c>
      <c r="S21" s="10">
        <f t="shared" si="3"/>
        <v>-6</v>
      </c>
      <c r="T21" s="10">
        <f t="shared" si="3"/>
        <v>34</v>
      </c>
      <c r="U21" s="10">
        <f t="shared" si="3"/>
        <v>-118</v>
      </c>
      <c r="V21" s="10">
        <f t="shared" si="3"/>
        <v>0</v>
      </c>
      <c r="W21" s="10">
        <f t="shared" si="3"/>
        <v>0</v>
      </c>
      <c r="X21" s="10">
        <f t="shared" si="3"/>
        <v>0</v>
      </c>
      <c r="Y21" s="10">
        <f t="shared" si="3"/>
        <v>256</v>
      </c>
      <c r="Z21" s="10">
        <f t="shared" si="3"/>
        <v>256</v>
      </c>
      <c r="AA21" s="10">
        <f t="shared" si="3"/>
        <v>0</v>
      </c>
      <c r="AB21" s="10">
        <f t="shared" si="3"/>
        <v>0</v>
      </c>
      <c r="AC21" s="10">
        <f t="shared" si="3"/>
        <v>0</v>
      </c>
    </row>
    <row r="22" spans="1:29" s="9" customFormat="1" x14ac:dyDescent="0.2"/>
    <row r="23" spans="1:29" s="10" customFormat="1" x14ac:dyDescent="0.2">
      <c r="A23" s="10" t="s">
        <v>282</v>
      </c>
      <c r="B23" s="10">
        <f>B17+B21</f>
        <v>-15581</v>
      </c>
      <c r="C23" s="10">
        <f t="shared" ref="C23:AC23" si="4">C17+C21</f>
        <v>-11357</v>
      </c>
      <c r="D23" s="10">
        <f t="shared" si="4"/>
        <v>-749</v>
      </c>
      <c r="E23" s="10">
        <f t="shared" si="4"/>
        <v>-5460</v>
      </c>
      <c r="F23" s="10">
        <f t="shared" si="4"/>
        <v>-33147</v>
      </c>
      <c r="G23" s="10">
        <f t="shared" si="4"/>
        <v>-10423</v>
      </c>
      <c r="H23" s="10">
        <f t="shared" si="4"/>
        <v>32800</v>
      </c>
      <c r="I23" s="10">
        <f t="shared" si="4"/>
        <v>7916</v>
      </c>
      <c r="J23" s="10">
        <f t="shared" si="4"/>
        <v>552</v>
      </c>
      <c r="K23" s="10">
        <f t="shared" si="4"/>
        <v>30845</v>
      </c>
      <c r="L23" s="10">
        <f t="shared" si="4"/>
        <v>9422</v>
      </c>
      <c r="M23" s="10">
        <f t="shared" si="4"/>
        <v>15749</v>
      </c>
      <c r="N23" s="10">
        <f t="shared" si="4"/>
        <v>30120</v>
      </c>
      <c r="O23" s="10">
        <f t="shared" si="4"/>
        <v>2802</v>
      </c>
      <c r="P23" s="10">
        <f t="shared" si="4"/>
        <v>58093</v>
      </c>
      <c r="Q23" s="10">
        <f t="shared" si="4"/>
        <v>-10473</v>
      </c>
      <c r="R23" s="10">
        <f t="shared" si="4"/>
        <v>11338</v>
      </c>
      <c r="S23" s="10">
        <f t="shared" si="4"/>
        <v>-2998</v>
      </c>
      <c r="T23" s="10">
        <f t="shared" si="4"/>
        <v>7468</v>
      </c>
      <c r="U23" s="10">
        <f t="shared" si="4"/>
        <v>5335</v>
      </c>
      <c r="V23" s="10">
        <f t="shared" si="4"/>
        <v>-5279</v>
      </c>
      <c r="W23" s="10">
        <f t="shared" si="4"/>
        <v>-7895</v>
      </c>
      <c r="X23" s="10">
        <f t="shared" si="4"/>
        <v>5747</v>
      </c>
      <c r="Y23" s="10">
        <f t="shared" si="4"/>
        <v>4608</v>
      </c>
      <c r="Z23" s="10">
        <f t="shared" si="4"/>
        <v>-2819</v>
      </c>
      <c r="AA23" s="10">
        <f t="shared" si="4"/>
        <v>-12929</v>
      </c>
      <c r="AB23" s="10">
        <f t="shared" si="4"/>
        <v>-6390</v>
      </c>
      <c r="AC23" s="10">
        <f t="shared" si="4"/>
        <v>6953</v>
      </c>
    </row>
    <row r="25" spans="1:29" x14ac:dyDescent="0.2">
      <c r="A25" t="s">
        <v>102</v>
      </c>
      <c r="B25">
        <v>-104</v>
      </c>
      <c r="C25">
        <v>220</v>
      </c>
      <c r="D25">
        <v>197</v>
      </c>
      <c r="E25">
        <v>-93</v>
      </c>
      <c r="F25">
        <v>220</v>
      </c>
      <c r="G25">
        <v>64</v>
      </c>
      <c r="H25">
        <v>-11</v>
      </c>
      <c r="I25">
        <v>-576</v>
      </c>
      <c r="J25">
        <v>-222</v>
      </c>
      <c r="K25">
        <v>-745</v>
      </c>
      <c r="L25">
        <v>-56</v>
      </c>
      <c r="M25">
        <v>86</v>
      </c>
      <c r="N25">
        <v>-298</v>
      </c>
      <c r="O25">
        <v>-810</v>
      </c>
      <c r="P25">
        <v>-1078</v>
      </c>
      <c r="Q25">
        <v>-130</v>
      </c>
      <c r="R25">
        <v>-296</v>
      </c>
      <c r="S25">
        <v>-263</v>
      </c>
      <c r="T25">
        <v>-102</v>
      </c>
      <c r="U25">
        <v>-791</v>
      </c>
      <c r="V25">
        <v>204</v>
      </c>
      <c r="W25">
        <v>-204</v>
      </c>
      <c r="X25">
        <v>-78</v>
      </c>
      <c r="Y25">
        <v>-530</v>
      </c>
      <c r="Z25">
        <v>-608</v>
      </c>
      <c r="AA25">
        <v>-374</v>
      </c>
      <c r="AB25">
        <v>-194</v>
      </c>
      <c r="AC25">
        <v>-615</v>
      </c>
    </row>
    <row r="27" spans="1:29" x14ac:dyDescent="0.2">
      <c r="A27" t="s">
        <v>28</v>
      </c>
      <c r="B27">
        <v>-19122</v>
      </c>
      <c r="C27">
        <v>-14202</v>
      </c>
      <c r="D27">
        <v>-3180</v>
      </c>
      <c r="E27">
        <v>-9942</v>
      </c>
      <c r="F27">
        <v>-46446</v>
      </c>
      <c r="G27">
        <v>-13590</v>
      </c>
      <c r="H27">
        <v>28710</v>
      </c>
      <c r="I27">
        <v>3947</v>
      </c>
      <c r="J27">
        <v>-3001</v>
      </c>
      <c r="K27">
        <v>16066</v>
      </c>
      <c r="L27">
        <v>5844</v>
      </c>
      <c r="M27">
        <v>13348</v>
      </c>
      <c r="N27">
        <v>27502</v>
      </c>
      <c r="O27">
        <v>-798</v>
      </c>
      <c r="P27">
        <v>45896</v>
      </c>
      <c r="Q27">
        <v>-13668</v>
      </c>
      <c r="R27">
        <v>9013</v>
      </c>
      <c r="S27">
        <v>-5165</v>
      </c>
      <c r="T27">
        <v>5531</v>
      </c>
      <c r="U27">
        <v>-4289</v>
      </c>
      <c r="V27">
        <v>-8584</v>
      </c>
      <c r="W27">
        <v>-10368</v>
      </c>
      <c r="X27">
        <v>3572</v>
      </c>
      <c r="Y27">
        <v>835</v>
      </c>
      <c r="Z27">
        <v>-14545</v>
      </c>
      <c r="AA27">
        <v>-16106</v>
      </c>
      <c r="AB27">
        <v>-9265</v>
      </c>
      <c r="AC27">
        <v>4234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1F0E0-8B0E-B34A-817A-FDCD2FF6117E}">
  <sheetPr codeName="Sheet7"/>
  <dimension ref="A1:AR2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" sqref="F1:F27"/>
    </sheetView>
  </sheetViews>
  <sheetFormatPr baseColWidth="10" defaultRowHeight="16" x14ac:dyDescent="0.2"/>
  <cols>
    <col min="1" max="1" width="46.6640625" customWidth="1"/>
  </cols>
  <sheetData>
    <row r="1" spans="1:44" x14ac:dyDescent="0.2">
      <c r="A1" s="3" t="s">
        <v>67</v>
      </c>
      <c r="B1" s="3" t="s">
        <v>73</v>
      </c>
      <c r="C1" s="3" t="s">
        <v>44</v>
      </c>
      <c r="D1" s="3" t="s">
        <v>45</v>
      </c>
      <c r="E1" s="3" t="s">
        <v>68</v>
      </c>
      <c r="F1" s="3" t="s">
        <v>46</v>
      </c>
      <c r="G1" s="3" t="s">
        <v>74</v>
      </c>
      <c r="H1" s="3" t="s">
        <v>47</v>
      </c>
      <c r="I1" s="3" t="s">
        <v>48</v>
      </c>
      <c r="J1" s="3" t="s">
        <v>69</v>
      </c>
      <c r="K1" s="3" t="s">
        <v>49</v>
      </c>
      <c r="L1" s="3" t="s">
        <v>75</v>
      </c>
      <c r="M1" s="3" t="s">
        <v>50</v>
      </c>
      <c r="N1" s="3" t="s">
        <v>51</v>
      </c>
      <c r="O1" s="3" t="s">
        <v>70</v>
      </c>
      <c r="P1" s="3" t="s">
        <v>52</v>
      </c>
      <c r="Q1" s="3" t="s">
        <v>76</v>
      </c>
      <c r="R1" s="3" t="s">
        <v>53</v>
      </c>
      <c r="S1" s="3" t="s">
        <v>54</v>
      </c>
      <c r="T1" s="3" t="s">
        <v>71</v>
      </c>
      <c r="U1" s="3" t="s">
        <v>55</v>
      </c>
      <c r="V1" s="3" t="s">
        <v>77</v>
      </c>
      <c r="W1" s="3" t="s">
        <v>56</v>
      </c>
      <c r="X1" s="3" t="s">
        <v>57</v>
      </c>
      <c r="Y1" s="3" t="s">
        <v>72</v>
      </c>
      <c r="Z1" s="3" t="s">
        <v>58</v>
      </c>
      <c r="AA1" s="3" t="s">
        <v>78</v>
      </c>
      <c r="AB1" s="3" t="s">
        <v>59</v>
      </c>
      <c r="AC1" s="3" t="s">
        <v>60</v>
      </c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</row>
    <row r="3" spans="1:44" ht="15" customHeight="1" x14ac:dyDescent="0.2">
      <c r="A3" s="1" t="s">
        <v>4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44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44" x14ac:dyDescent="0.2">
      <c r="A5" s="1" t="s">
        <v>15</v>
      </c>
      <c r="B5" s="1">
        <v>1946</v>
      </c>
      <c r="C5" s="1">
        <v>-1630</v>
      </c>
      <c r="D5" s="1">
        <v>-2792</v>
      </c>
      <c r="E5" s="1">
        <v>2322</v>
      </c>
      <c r="F5" s="1">
        <v>-154</v>
      </c>
      <c r="G5" s="1">
        <v>37549</v>
      </c>
      <c r="H5" s="1">
        <v>1609</v>
      </c>
      <c r="I5" s="1">
        <v>-2149</v>
      </c>
      <c r="J5" s="1">
        <v>1481</v>
      </c>
      <c r="K5" s="1">
        <v>38490</v>
      </c>
      <c r="L5" s="1">
        <v>570</v>
      </c>
      <c r="M5" s="1">
        <v>-3843</v>
      </c>
      <c r="N5" s="1">
        <v>-5480</v>
      </c>
      <c r="O5" s="1">
        <v>4053</v>
      </c>
      <c r="P5" s="1">
        <v>-4700</v>
      </c>
      <c r="Q5" s="1">
        <v>5514</v>
      </c>
      <c r="R5" s="1">
        <v>1986</v>
      </c>
      <c r="S5" s="1">
        <v>-3633</v>
      </c>
      <c r="T5" s="1">
        <v>5049</v>
      </c>
      <c r="U5" s="1">
        <v>8916</v>
      </c>
      <c r="V5" s="1">
        <v>7959</v>
      </c>
      <c r="W5" s="1">
        <v>-4914</v>
      </c>
      <c r="X5" s="1">
        <v>-2582</v>
      </c>
      <c r="Y5" s="1">
        <v>5336</v>
      </c>
      <c r="Z5" s="1">
        <v>5799</v>
      </c>
      <c r="AA5" s="1">
        <v>4236</v>
      </c>
      <c r="AB5" s="1">
        <v>-2348</v>
      </c>
      <c r="AC5" s="1">
        <v>-1902</v>
      </c>
    </row>
    <row r="6" spans="1:44" x14ac:dyDescent="0.2">
      <c r="A6" s="1" t="s">
        <v>9</v>
      </c>
      <c r="B6" s="1">
        <v>1697</v>
      </c>
      <c r="C6" s="1">
        <v>2486</v>
      </c>
      <c r="D6" s="1">
        <v>-802</v>
      </c>
      <c r="E6" s="1">
        <v>-5474</v>
      </c>
      <c r="F6" s="1">
        <v>-2093</v>
      </c>
      <c r="G6" s="1">
        <v>-5570</v>
      </c>
      <c r="H6" s="1">
        <v>9093</v>
      </c>
      <c r="I6" s="1">
        <v>233</v>
      </c>
      <c r="J6" s="1">
        <v>-9078</v>
      </c>
      <c r="K6" s="1">
        <v>-5322</v>
      </c>
      <c r="L6" s="1">
        <v>5130</v>
      </c>
      <c r="M6" s="1">
        <v>2964</v>
      </c>
      <c r="N6" s="1">
        <v>919</v>
      </c>
      <c r="O6" s="1">
        <v>-8768</v>
      </c>
      <c r="P6" s="1">
        <v>245</v>
      </c>
      <c r="Q6" s="1">
        <v>2015</v>
      </c>
      <c r="R6" s="1">
        <v>5269</v>
      </c>
      <c r="S6" s="1">
        <v>-2135</v>
      </c>
      <c r="T6" s="1">
        <v>1768</v>
      </c>
      <c r="U6" s="1">
        <v>6917</v>
      </c>
      <c r="V6" s="1">
        <v>-10945</v>
      </c>
      <c r="W6" s="1">
        <v>8598</v>
      </c>
      <c r="X6" s="1">
        <v>1031</v>
      </c>
      <c r="Y6" s="1">
        <v>-8809</v>
      </c>
      <c r="Z6" s="1">
        <v>-10125</v>
      </c>
      <c r="AA6" s="1">
        <v>-3934</v>
      </c>
      <c r="AB6" s="1">
        <v>9476</v>
      </c>
      <c r="AC6" s="1">
        <v>-981</v>
      </c>
    </row>
    <row r="7" spans="1:44" x14ac:dyDescent="0.2">
      <c r="A7" s="1" t="s">
        <v>11</v>
      </c>
      <c r="B7" s="1">
        <v>-375</v>
      </c>
      <c r="C7" s="1">
        <v>4887</v>
      </c>
      <c r="D7" s="1">
        <v>-1200</v>
      </c>
      <c r="E7" s="1">
        <v>-7566</v>
      </c>
      <c r="F7" s="1">
        <v>-4254</v>
      </c>
      <c r="G7" s="1">
        <v>-9660</v>
      </c>
      <c r="H7" s="1">
        <v>19375</v>
      </c>
      <c r="I7" s="1">
        <v>-4179</v>
      </c>
      <c r="J7" s="1">
        <v>-13546</v>
      </c>
      <c r="K7" s="1">
        <v>-8010</v>
      </c>
      <c r="L7" s="1">
        <v>6905</v>
      </c>
      <c r="M7" s="1">
        <v>7711</v>
      </c>
      <c r="N7" s="1">
        <v>-1133</v>
      </c>
      <c r="O7" s="1">
        <v>-10552</v>
      </c>
      <c r="P7" s="1">
        <v>2931</v>
      </c>
      <c r="Q7" s="1">
        <v>3902</v>
      </c>
      <c r="R7" s="1">
        <v>4021</v>
      </c>
      <c r="S7" s="1">
        <v>762</v>
      </c>
      <c r="T7" s="1">
        <v>-7132</v>
      </c>
      <c r="U7" s="1">
        <v>1553</v>
      </c>
      <c r="V7" s="1">
        <v>-10194</v>
      </c>
      <c r="W7" s="1">
        <v>16986</v>
      </c>
      <c r="X7" s="1">
        <v>-1900</v>
      </c>
      <c r="Y7" s="1">
        <v>-8795</v>
      </c>
      <c r="Z7" s="1">
        <v>-3903</v>
      </c>
      <c r="AA7" s="1">
        <v>-9812</v>
      </c>
      <c r="AB7" s="1">
        <v>10455</v>
      </c>
      <c r="AC7" s="1">
        <v>4146</v>
      </c>
    </row>
    <row r="8" spans="1:44" x14ac:dyDescent="0.2">
      <c r="A8" s="1" t="s">
        <v>10</v>
      </c>
      <c r="B8" s="1">
        <v>-580</v>
      </c>
      <c r="C8" s="1">
        <v>-198</v>
      </c>
      <c r="D8" s="1">
        <v>-236</v>
      </c>
      <c r="E8" s="1">
        <v>-1709</v>
      </c>
      <c r="F8" s="1">
        <v>-2723</v>
      </c>
      <c r="G8" s="1">
        <v>434</v>
      </c>
      <c r="H8" s="1">
        <v>-3241</v>
      </c>
      <c r="I8" s="1">
        <v>1693</v>
      </c>
      <c r="J8" s="1">
        <v>1942</v>
      </c>
      <c r="K8" s="1">
        <v>828</v>
      </c>
      <c r="L8" s="1">
        <v>-1076</v>
      </c>
      <c r="M8" s="1">
        <v>70</v>
      </c>
      <c r="N8" s="1">
        <v>1502</v>
      </c>
      <c r="O8" s="1">
        <v>-785</v>
      </c>
      <c r="P8" s="1">
        <v>-289</v>
      </c>
      <c r="Q8" s="1">
        <v>-28</v>
      </c>
      <c r="R8" s="1">
        <v>727</v>
      </c>
      <c r="S8" s="1">
        <v>-689</v>
      </c>
      <c r="T8" s="1">
        <v>-137</v>
      </c>
      <c r="U8" s="1">
        <v>-127</v>
      </c>
      <c r="V8" s="1">
        <v>-950</v>
      </c>
      <c r="W8" s="1">
        <v>-276</v>
      </c>
      <c r="X8" s="1">
        <v>13</v>
      </c>
      <c r="Y8" s="1">
        <v>-1429</v>
      </c>
      <c r="Z8" s="1">
        <v>-2642</v>
      </c>
      <c r="AA8" s="1">
        <v>681</v>
      </c>
      <c r="AB8" s="1">
        <v>384</v>
      </c>
      <c r="AC8" s="1">
        <v>-16</v>
      </c>
    </row>
    <row r="9" spans="1:44" x14ac:dyDescent="0.2">
      <c r="A9" s="1" t="s">
        <v>13</v>
      </c>
      <c r="B9" s="1">
        <v>2460</v>
      </c>
      <c r="C9" s="1">
        <v>-9322</v>
      </c>
      <c r="D9" s="1">
        <v>1650</v>
      </c>
      <c r="E9" s="1">
        <v>14830</v>
      </c>
      <c r="F9" s="1">
        <v>9618</v>
      </c>
      <c r="G9" s="1">
        <v>14588</v>
      </c>
      <c r="H9" s="1">
        <v>-27808</v>
      </c>
      <c r="I9" s="1">
        <v>2081</v>
      </c>
      <c r="J9" s="1">
        <v>20314</v>
      </c>
      <c r="K9" s="1">
        <v>9175</v>
      </c>
      <c r="L9" s="1">
        <v>-8501</v>
      </c>
      <c r="M9" s="1">
        <v>-11523</v>
      </c>
      <c r="N9" s="1">
        <v>220</v>
      </c>
      <c r="O9" s="1">
        <v>17881</v>
      </c>
      <c r="P9" s="1">
        <v>-1923</v>
      </c>
      <c r="Q9" s="1">
        <v>-1089</v>
      </c>
      <c r="R9" s="1">
        <v>-12431</v>
      </c>
      <c r="S9" s="1">
        <v>2733</v>
      </c>
      <c r="T9" s="1">
        <v>6725</v>
      </c>
      <c r="U9" s="1">
        <v>-4062</v>
      </c>
      <c r="V9" s="1">
        <v>21670</v>
      </c>
      <c r="W9" s="1">
        <v>-23667</v>
      </c>
      <c r="X9" s="1">
        <v>211</v>
      </c>
      <c r="Y9" s="1">
        <v>14112</v>
      </c>
      <c r="Z9" s="1">
        <v>12326</v>
      </c>
      <c r="AA9" s="1">
        <v>19813</v>
      </c>
      <c r="AB9" s="1">
        <v>-21563</v>
      </c>
      <c r="AC9" s="1">
        <v>-4358</v>
      </c>
    </row>
    <row r="10" spans="1:44" ht="15" customHeight="1" x14ac:dyDescent="0.2">
      <c r="A10" s="1" t="s">
        <v>5</v>
      </c>
      <c r="B10" s="1">
        <v>1256</v>
      </c>
      <c r="C10" s="1">
        <v>1217</v>
      </c>
      <c r="D10" s="1">
        <v>1193</v>
      </c>
      <c r="E10" s="1">
        <v>1174</v>
      </c>
      <c r="F10" s="1">
        <v>4840</v>
      </c>
      <c r="G10" s="1">
        <v>1296</v>
      </c>
      <c r="H10" s="1">
        <v>1348</v>
      </c>
      <c r="I10" s="1">
        <v>1351</v>
      </c>
      <c r="J10" s="1">
        <v>1345</v>
      </c>
      <c r="K10" s="1">
        <v>5340</v>
      </c>
      <c r="L10" s="1">
        <v>1559</v>
      </c>
      <c r="M10" s="1">
        <v>1514</v>
      </c>
      <c r="N10" s="1">
        <v>1496</v>
      </c>
      <c r="O10" s="1">
        <v>1499</v>
      </c>
      <c r="P10" s="1">
        <v>6068</v>
      </c>
      <c r="Q10" s="1">
        <v>1710</v>
      </c>
      <c r="R10" s="1">
        <v>1697</v>
      </c>
      <c r="S10" s="1">
        <v>1698</v>
      </c>
      <c r="T10" s="1">
        <v>1724</v>
      </c>
      <c r="U10" s="1">
        <v>6829</v>
      </c>
      <c r="V10" s="1">
        <v>2020</v>
      </c>
      <c r="W10" s="1">
        <v>1981</v>
      </c>
      <c r="X10" s="1">
        <v>1960</v>
      </c>
      <c r="Y10" s="1">
        <v>1945</v>
      </c>
      <c r="Z10" s="1">
        <v>7906</v>
      </c>
      <c r="AA10" s="1">
        <v>2265</v>
      </c>
      <c r="AB10" s="1">
        <v>2252</v>
      </c>
      <c r="AC10" s="1">
        <v>2243</v>
      </c>
    </row>
    <row r="11" spans="1:44" x14ac:dyDescent="0.2">
      <c r="A11" s="1" t="s">
        <v>14</v>
      </c>
      <c r="B11" s="1">
        <v>42</v>
      </c>
      <c r="C11" s="1">
        <v>-263</v>
      </c>
      <c r="D11" s="1">
        <v>-197</v>
      </c>
      <c r="E11" s="1">
        <v>-208</v>
      </c>
      <c r="F11" s="1">
        <v>-626</v>
      </c>
      <c r="G11" s="1">
        <v>791</v>
      </c>
      <c r="H11" s="1">
        <v>-313</v>
      </c>
      <c r="I11" s="1">
        <v>-581</v>
      </c>
      <c r="J11" s="1">
        <v>59</v>
      </c>
      <c r="K11" s="1">
        <v>-44</v>
      </c>
      <c r="L11" s="1">
        <v>-370</v>
      </c>
      <c r="M11" s="1">
        <v>-170</v>
      </c>
      <c r="N11" s="1">
        <v>-236</v>
      </c>
      <c r="O11" s="1">
        <v>151</v>
      </c>
      <c r="P11" s="1">
        <v>-625</v>
      </c>
      <c r="Q11" s="1">
        <v>985</v>
      </c>
      <c r="R11" s="1">
        <v>238</v>
      </c>
      <c r="S11" s="1">
        <v>426</v>
      </c>
      <c r="T11" s="1">
        <v>432</v>
      </c>
      <c r="U11" s="1">
        <v>2081</v>
      </c>
      <c r="V11" s="1">
        <v>1341</v>
      </c>
      <c r="W11" s="1">
        <v>301</v>
      </c>
      <c r="X11" s="1">
        <v>96</v>
      </c>
      <c r="Y11" s="1">
        <v>-62</v>
      </c>
      <c r="Z11" s="1">
        <v>1676</v>
      </c>
      <c r="AA11" s="1">
        <v>462</v>
      </c>
      <c r="AB11" s="1">
        <v>165</v>
      </c>
      <c r="AC11" s="1">
        <v>-367</v>
      </c>
    </row>
    <row r="12" spans="1:44" s="10" customFormat="1" x14ac:dyDescent="0.2">
      <c r="A12" s="12" t="s">
        <v>87</v>
      </c>
      <c r="B12" s="12">
        <f>SUM(B5:B11)</f>
        <v>6446</v>
      </c>
      <c r="C12" s="12">
        <f t="shared" ref="C12:AC12" si="0">SUM(C5:C11)</f>
        <v>-2823</v>
      </c>
      <c r="D12" s="12">
        <f t="shared" si="0"/>
        <v>-2384</v>
      </c>
      <c r="E12" s="12">
        <f t="shared" si="0"/>
        <v>3369</v>
      </c>
      <c r="F12" s="12">
        <f t="shared" si="0"/>
        <v>4608</v>
      </c>
      <c r="G12" s="12">
        <f t="shared" si="0"/>
        <v>39428</v>
      </c>
      <c r="H12" s="12">
        <f t="shared" si="0"/>
        <v>63</v>
      </c>
      <c r="I12" s="12">
        <f t="shared" si="0"/>
        <v>-1551</v>
      </c>
      <c r="J12" s="12">
        <f t="shared" si="0"/>
        <v>2517</v>
      </c>
      <c r="K12" s="12">
        <f t="shared" si="0"/>
        <v>40457</v>
      </c>
      <c r="L12" s="12">
        <f t="shared" si="0"/>
        <v>4217</v>
      </c>
      <c r="M12" s="12">
        <f t="shared" si="0"/>
        <v>-3277</v>
      </c>
      <c r="N12" s="12">
        <f t="shared" si="0"/>
        <v>-2712</v>
      </c>
      <c r="O12" s="12">
        <f t="shared" si="0"/>
        <v>3479</v>
      </c>
      <c r="P12" s="12">
        <f t="shared" si="0"/>
        <v>1707</v>
      </c>
      <c r="Q12" s="12">
        <f t="shared" si="0"/>
        <v>13009</v>
      </c>
      <c r="R12" s="12">
        <f t="shared" si="0"/>
        <v>1507</v>
      </c>
      <c r="S12" s="12">
        <f t="shared" si="0"/>
        <v>-838</v>
      </c>
      <c r="T12" s="12">
        <f t="shared" si="0"/>
        <v>8429</v>
      </c>
      <c r="U12" s="12">
        <f t="shared" si="0"/>
        <v>22107</v>
      </c>
      <c r="V12" s="12">
        <f t="shared" si="0"/>
        <v>10901</v>
      </c>
      <c r="W12" s="12">
        <f t="shared" si="0"/>
        <v>-991</v>
      </c>
      <c r="X12" s="12">
        <f t="shared" si="0"/>
        <v>-1171</v>
      </c>
      <c r="Y12" s="12">
        <f t="shared" si="0"/>
        <v>2298</v>
      </c>
      <c r="Z12" s="12">
        <f t="shared" si="0"/>
        <v>11037</v>
      </c>
      <c r="AA12" s="12">
        <f t="shared" si="0"/>
        <v>13711</v>
      </c>
      <c r="AB12" s="12">
        <f t="shared" si="0"/>
        <v>-1179</v>
      </c>
      <c r="AC12" s="12">
        <f t="shared" si="0"/>
        <v>-1235</v>
      </c>
    </row>
    <row r="13" spans="1:44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44" x14ac:dyDescent="0.2">
      <c r="A14" s="1" t="s">
        <v>6</v>
      </c>
      <c r="B14" s="1">
        <v>1452</v>
      </c>
      <c r="C14" s="1">
        <v>1370</v>
      </c>
      <c r="D14" s="1">
        <v>1942</v>
      </c>
      <c r="E14" s="1">
        <v>1202</v>
      </c>
      <c r="F14" s="1">
        <v>5966</v>
      </c>
      <c r="G14" s="1">
        <v>-33737</v>
      </c>
      <c r="H14" s="1">
        <v>-498</v>
      </c>
      <c r="I14" s="1">
        <v>1126</v>
      </c>
      <c r="J14" s="1">
        <v>519</v>
      </c>
      <c r="K14" s="1">
        <v>-32590</v>
      </c>
      <c r="L14" s="1">
        <v>53</v>
      </c>
      <c r="M14" s="1">
        <v>-53</v>
      </c>
      <c r="N14" s="1"/>
      <c r="O14" s="1">
        <v>-340</v>
      </c>
      <c r="P14" s="1">
        <v>-340</v>
      </c>
      <c r="Q14" s="1">
        <v>-349</v>
      </c>
      <c r="R14" s="1">
        <v>349</v>
      </c>
      <c r="S14" s="1">
        <v>182</v>
      </c>
      <c r="T14" s="1">
        <v>-182</v>
      </c>
      <c r="U14" s="1"/>
      <c r="V14" s="1"/>
      <c r="W14" s="1"/>
      <c r="X14" s="1">
        <v>-737</v>
      </c>
      <c r="Y14" s="1">
        <v>737</v>
      </c>
      <c r="Z14" s="1"/>
      <c r="AA14" s="1">
        <v>682</v>
      </c>
      <c r="AB14" s="1">
        <v>406</v>
      </c>
      <c r="AC14" s="1">
        <v>1668</v>
      </c>
    </row>
    <row r="15" spans="1:44" x14ac:dyDescent="0.2">
      <c r="A15" s="1" t="s">
        <v>7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>
        <v>-124</v>
      </c>
      <c r="N15" s="1">
        <v>86</v>
      </c>
      <c r="O15" s="1">
        <v>38</v>
      </c>
      <c r="P15" s="1"/>
      <c r="Q15" s="1"/>
      <c r="R15" s="1">
        <v>-651</v>
      </c>
      <c r="S15" s="1">
        <v>651</v>
      </c>
      <c r="T15" s="1">
        <v>-215</v>
      </c>
      <c r="U15" s="1">
        <v>-215</v>
      </c>
      <c r="V15" s="1">
        <v>-58</v>
      </c>
      <c r="W15" s="1">
        <v>-149</v>
      </c>
      <c r="X15" s="1">
        <v>207</v>
      </c>
      <c r="Y15" s="1">
        <v>-4774</v>
      </c>
      <c r="Z15" s="1">
        <v>-4774</v>
      </c>
      <c r="AA15" s="1"/>
      <c r="AB15" s="1"/>
      <c r="AC15" s="1"/>
    </row>
    <row r="16" spans="1:44" s="10" customFormat="1" x14ac:dyDescent="0.2">
      <c r="A16" s="12" t="s">
        <v>95</v>
      </c>
      <c r="B16" s="12">
        <f>SUM(B14:B15)</f>
        <v>1452</v>
      </c>
      <c r="C16" s="12">
        <f t="shared" ref="C16:AC16" si="1">SUM(C14:C15)</f>
        <v>1370</v>
      </c>
      <c r="D16" s="12">
        <f t="shared" si="1"/>
        <v>1942</v>
      </c>
      <c r="E16" s="12">
        <f t="shared" si="1"/>
        <v>1202</v>
      </c>
      <c r="F16" s="12">
        <f t="shared" si="1"/>
        <v>5966</v>
      </c>
      <c r="G16" s="12">
        <f t="shared" si="1"/>
        <v>-33737</v>
      </c>
      <c r="H16" s="12">
        <f t="shared" si="1"/>
        <v>-498</v>
      </c>
      <c r="I16" s="12">
        <f t="shared" si="1"/>
        <v>1126</v>
      </c>
      <c r="J16" s="12">
        <f t="shared" si="1"/>
        <v>519</v>
      </c>
      <c r="K16" s="12">
        <f t="shared" si="1"/>
        <v>-32590</v>
      </c>
      <c r="L16" s="12">
        <f t="shared" si="1"/>
        <v>53</v>
      </c>
      <c r="M16" s="12">
        <f t="shared" si="1"/>
        <v>-177</v>
      </c>
      <c r="N16" s="12">
        <f t="shared" si="1"/>
        <v>86</v>
      </c>
      <c r="O16" s="12">
        <f t="shared" si="1"/>
        <v>-302</v>
      </c>
      <c r="P16" s="12">
        <f t="shared" si="1"/>
        <v>-340</v>
      </c>
      <c r="Q16" s="12">
        <f t="shared" si="1"/>
        <v>-349</v>
      </c>
      <c r="R16" s="12">
        <f t="shared" si="1"/>
        <v>-302</v>
      </c>
      <c r="S16" s="12">
        <f t="shared" si="1"/>
        <v>833</v>
      </c>
      <c r="T16" s="12">
        <f t="shared" si="1"/>
        <v>-397</v>
      </c>
      <c r="U16" s="12">
        <f t="shared" si="1"/>
        <v>-215</v>
      </c>
      <c r="V16" s="12">
        <f t="shared" si="1"/>
        <v>-58</v>
      </c>
      <c r="W16" s="12">
        <f t="shared" si="1"/>
        <v>-149</v>
      </c>
      <c r="X16" s="12">
        <f t="shared" si="1"/>
        <v>-530</v>
      </c>
      <c r="Y16" s="12">
        <f t="shared" si="1"/>
        <v>-4037</v>
      </c>
      <c r="Z16" s="12">
        <f t="shared" si="1"/>
        <v>-4774</v>
      </c>
      <c r="AA16" s="12">
        <f t="shared" si="1"/>
        <v>682</v>
      </c>
      <c r="AB16" s="12">
        <f t="shared" si="1"/>
        <v>406</v>
      </c>
      <c r="AC16" s="12">
        <f t="shared" si="1"/>
        <v>1668</v>
      </c>
    </row>
    <row r="17" spans="1:29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">
      <c r="A18" s="1" t="s">
        <v>12</v>
      </c>
      <c r="B18" s="1">
        <v>-1446</v>
      </c>
      <c r="C18" s="1">
        <v>550</v>
      </c>
      <c r="D18" s="1">
        <v>-2333</v>
      </c>
      <c r="E18" s="1">
        <v>-2089</v>
      </c>
      <c r="F18" s="1">
        <v>-5318</v>
      </c>
      <c r="G18" s="1">
        <v>-197</v>
      </c>
      <c r="H18" s="1">
        <v>-856</v>
      </c>
      <c r="I18" s="1">
        <v>988</v>
      </c>
      <c r="J18" s="1">
        <v>-358</v>
      </c>
      <c r="K18" s="1">
        <v>-423</v>
      </c>
      <c r="L18" s="1">
        <v>-886</v>
      </c>
      <c r="M18" s="1">
        <v>169</v>
      </c>
      <c r="N18" s="1">
        <v>1410</v>
      </c>
      <c r="O18" s="1">
        <v>180</v>
      </c>
      <c r="P18" s="1">
        <v>873</v>
      </c>
      <c r="Q18" s="1">
        <v>-7054</v>
      </c>
      <c r="R18" s="1">
        <v>-1812</v>
      </c>
      <c r="S18" s="1">
        <v>2106</v>
      </c>
      <c r="T18" s="1">
        <v>-2828</v>
      </c>
      <c r="U18" s="1">
        <v>-9588</v>
      </c>
      <c r="V18" s="1">
        <v>-3526</v>
      </c>
      <c r="W18" s="1">
        <v>-807</v>
      </c>
      <c r="X18" s="1">
        <v>-1566</v>
      </c>
      <c r="Y18" s="1">
        <v>-2143</v>
      </c>
      <c r="Z18" s="1">
        <v>-8042</v>
      </c>
      <c r="AA18" s="1">
        <v>-4921</v>
      </c>
      <c r="AB18" s="1">
        <v>1379</v>
      </c>
      <c r="AC18" s="1">
        <v>253</v>
      </c>
    </row>
    <row r="19" spans="1:29" x14ac:dyDescent="0.2">
      <c r="A19" s="1" t="s">
        <v>8</v>
      </c>
      <c r="B19" s="1">
        <v>-274</v>
      </c>
      <c r="C19" s="1">
        <v>65</v>
      </c>
      <c r="D19" s="1">
        <v>67</v>
      </c>
      <c r="E19" s="1">
        <v>-24</v>
      </c>
      <c r="F19" s="1">
        <v>-166</v>
      </c>
      <c r="G19" s="1">
        <v>-11</v>
      </c>
      <c r="H19" s="1">
        <v>-140</v>
      </c>
      <c r="I19" s="1">
        <v>-259</v>
      </c>
      <c r="J19" s="1">
        <v>-34</v>
      </c>
      <c r="K19" s="1">
        <v>-444</v>
      </c>
      <c r="L19" s="1">
        <v>-54</v>
      </c>
      <c r="M19" s="1">
        <v>-161</v>
      </c>
      <c r="N19" s="1">
        <v>-125</v>
      </c>
      <c r="O19" s="1">
        <v>-312</v>
      </c>
      <c r="P19" s="1">
        <v>-652</v>
      </c>
      <c r="Q19" s="1">
        <v>-142</v>
      </c>
      <c r="R19" s="1">
        <v>-117</v>
      </c>
      <c r="S19" s="1">
        <v>165</v>
      </c>
      <c r="T19" s="1">
        <v>-3</v>
      </c>
      <c r="U19" s="1">
        <v>-97</v>
      </c>
      <c r="V19" s="1">
        <v>25</v>
      </c>
      <c r="W19" s="1">
        <v>-499</v>
      </c>
      <c r="X19" s="1">
        <v>-215</v>
      </c>
      <c r="Y19" s="1">
        <v>542</v>
      </c>
      <c r="Z19" s="1">
        <v>-147</v>
      </c>
      <c r="AA19" s="1">
        <v>167</v>
      </c>
      <c r="AB19" s="1">
        <v>-187</v>
      </c>
      <c r="AC19" s="1">
        <v>-41</v>
      </c>
    </row>
    <row r="20" spans="1:29" s="10" customFormat="1" x14ac:dyDescent="0.2">
      <c r="A20" s="12" t="s">
        <v>100</v>
      </c>
      <c r="B20" s="12">
        <f>SUM(B18:B19)</f>
        <v>-1720</v>
      </c>
      <c r="C20" s="12">
        <f t="shared" ref="C20:AC20" si="2">SUM(C18:C19)</f>
        <v>615</v>
      </c>
      <c r="D20" s="12">
        <f t="shared" si="2"/>
        <v>-2266</v>
      </c>
      <c r="E20" s="12">
        <f t="shared" si="2"/>
        <v>-2113</v>
      </c>
      <c r="F20" s="12">
        <f t="shared" si="2"/>
        <v>-5484</v>
      </c>
      <c r="G20" s="12">
        <f t="shared" si="2"/>
        <v>-208</v>
      </c>
      <c r="H20" s="12">
        <f t="shared" si="2"/>
        <v>-996</v>
      </c>
      <c r="I20" s="12">
        <f t="shared" si="2"/>
        <v>729</v>
      </c>
      <c r="J20" s="12">
        <f t="shared" si="2"/>
        <v>-392</v>
      </c>
      <c r="K20" s="12">
        <f t="shared" si="2"/>
        <v>-867</v>
      </c>
      <c r="L20" s="12">
        <f t="shared" si="2"/>
        <v>-940</v>
      </c>
      <c r="M20" s="12">
        <f t="shared" si="2"/>
        <v>8</v>
      </c>
      <c r="N20" s="12">
        <f t="shared" si="2"/>
        <v>1285</v>
      </c>
      <c r="O20" s="12">
        <f t="shared" si="2"/>
        <v>-132</v>
      </c>
      <c r="P20" s="12">
        <f t="shared" si="2"/>
        <v>221</v>
      </c>
      <c r="Q20" s="12">
        <f t="shared" si="2"/>
        <v>-7196</v>
      </c>
      <c r="R20" s="12">
        <f t="shared" si="2"/>
        <v>-1929</v>
      </c>
      <c r="S20" s="12">
        <f t="shared" si="2"/>
        <v>2271</v>
      </c>
      <c r="T20" s="12">
        <f t="shared" si="2"/>
        <v>-2831</v>
      </c>
      <c r="U20" s="12">
        <f t="shared" si="2"/>
        <v>-9685</v>
      </c>
      <c r="V20" s="12">
        <f t="shared" si="2"/>
        <v>-3501</v>
      </c>
      <c r="W20" s="12">
        <f t="shared" si="2"/>
        <v>-1306</v>
      </c>
      <c r="X20" s="12">
        <f t="shared" si="2"/>
        <v>-1781</v>
      </c>
      <c r="Y20" s="12">
        <f t="shared" si="2"/>
        <v>-1601</v>
      </c>
      <c r="Z20" s="12">
        <f t="shared" si="2"/>
        <v>-8189</v>
      </c>
      <c r="AA20" s="12">
        <f t="shared" si="2"/>
        <v>-4754</v>
      </c>
      <c r="AB20" s="12">
        <f t="shared" si="2"/>
        <v>1192</v>
      </c>
      <c r="AC20" s="12">
        <f t="shared" si="2"/>
        <v>212</v>
      </c>
    </row>
    <row r="21" spans="1:29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">
      <c r="A22" s="1" t="s">
        <v>16</v>
      </c>
      <c r="B22" s="1">
        <f>B12+B16+B20</f>
        <v>6178</v>
      </c>
      <c r="C22" s="1">
        <f>C12+C16+C20</f>
        <v>-838</v>
      </c>
      <c r="D22" s="1">
        <f>D12+D16+D20</f>
        <v>-2708</v>
      </c>
      <c r="E22" s="1">
        <f>E12+E16+E20</f>
        <v>2458</v>
      </c>
      <c r="F22" s="1">
        <f>F12+F16+F20</f>
        <v>5090</v>
      </c>
      <c r="G22" s="1">
        <f>G12+G16+G20</f>
        <v>5483</v>
      </c>
      <c r="H22" s="1">
        <f>H12+H16+H20</f>
        <v>-1431</v>
      </c>
      <c r="I22" s="1">
        <f>I12+I16+I20</f>
        <v>304</v>
      </c>
      <c r="J22" s="1">
        <f>J12+J16+J20</f>
        <v>2644</v>
      </c>
      <c r="K22" s="1">
        <f>K12+K16+K20</f>
        <v>7000</v>
      </c>
      <c r="L22" s="1">
        <f>L12+L16+L20</f>
        <v>3330</v>
      </c>
      <c r="M22" s="1">
        <f>M12+M16+M20</f>
        <v>-3446</v>
      </c>
      <c r="N22" s="1">
        <f>N12+N16+N20</f>
        <v>-1341</v>
      </c>
      <c r="O22" s="1">
        <f>O12+O16+O20</f>
        <v>3045</v>
      </c>
      <c r="P22" s="1">
        <f>P12+P16+P20</f>
        <v>1588</v>
      </c>
      <c r="Q22" s="1">
        <f>Q12+Q16+Q20</f>
        <v>5464</v>
      </c>
      <c r="R22" s="1">
        <f>R12+R16+R20</f>
        <v>-724</v>
      </c>
      <c r="S22" s="1">
        <f>S12+S16+S20</f>
        <v>2266</v>
      </c>
      <c r="T22" s="1">
        <f>T12+T16+T20</f>
        <v>5201</v>
      </c>
      <c r="U22" s="1">
        <f>U12+U16+U20</f>
        <v>12207</v>
      </c>
      <c r="V22" s="1">
        <f>V12+V16+V20</f>
        <v>7342</v>
      </c>
      <c r="W22" s="1">
        <f>W12+W16+W20</f>
        <v>-2446</v>
      </c>
      <c r="X22" s="1">
        <f>X12+X16+X20</f>
        <v>-3482</v>
      </c>
      <c r="Y22" s="1">
        <f>Y12+Y16+Y20</f>
        <v>-3340</v>
      </c>
      <c r="Z22" s="1">
        <f>Z12+Z16+Z20</f>
        <v>-1926</v>
      </c>
      <c r="AA22" s="1">
        <f>AA12+AA16+AA20</f>
        <v>9639</v>
      </c>
      <c r="AB22" s="1">
        <f>AB12+AB16+AB20</f>
        <v>419</v>
      </c>
      <c r="AC22" s="1">
        <f>AC12+AC16+AC20</f>
        <v>645</v>
      </c>
    </row>
    <row r="23" spans="1:29" x14ac:dyDescent="0.2">
      <c r="A23" s="1"/>
      <c r="B23" s="1">
        <v>6178</v>
      </c>
      <c r="C23" s="1">
        <v>-838</v>
      </c>
      <c r="D23" s="1">
        <v>-2708</v>
      </c>
      <c r="E23" s="1">
        <v>2458</v>
      </c>
      <c r="F23" s="1">
        <v>5090</v>
      </c>
      <c r="G23" s="1">
        <v>5483</v>
      </c>
      <c r="H23" s="1">
        <v>-1431</v>
      </c>
      <c r="I23" s="1">
        <v>304</v>
      </c>
      <c r="J23" s="1">
        <v>2644</v>
      </c>
      <c r="K23" s="1">
        <v>7000</v>
      </c>
      <c r="L23" s="1">
        <v>3330</v>
      </c>
      <c r="M23" s="1">
        <v>-3446</v>
      </c>
      <c r="N23" s="1">
        <v>-1341</v>
      </c>
      <c r="O23" s="1">
        <v>3045</v>
      </c>
      <c r="P23" s="1">
        <v>1588</v>
      </c>
      <c r="Q23" s="1">
        <v>5464</v>
      </c>
      <c r="R23" s="1">
        <v>-724</v>
      </c>
      <c r="S23" s="1">
        <v>2266</v>
      </c>
      <c r="T23" s="1">
        <v>5201</v>
      </c>
      <c r="U23" s="1">
        <v>12207</v>
      </c>
      <c r="V23" s="1">
        <v>7342</v>
      </c>
      <c r="W23" s="1">
        <v>-2446</v>
      </c>
      <c r="X23" s="1">
        <v>-3482</v>
      </c>
      <c r="Y23" s="1">
        <v>-3340</v>
      </c>
      <c r="Z23" s="1">
        <v>-1926</v>
      </c>
      <c r="AA23" s="1">
        <v>9639</v>
      </c>
      <c r="AB23" s="1">
        <v>419</v>
      </c>
      <c r="AC23" s="1">
        <v>645</v>
      </c>
    </row>
    <row r="25" spans="1:29" x14ac:dyDescent="0.2">
      <c r="A25" t="s">
        <v>149</v>
      </c>
      <c r="B25">
        <v>6289</v>
      </c>
      <c r="C25">
        <v>3655</v>
      </c>
      <c r="D25">
        <v>2591</v>
      </c>
      <c r="E25">
        <v>3203</v>
      </c>
      <c r="F25">
        <v>15738</v>
      </c>
      <c r="G25">
        <v>6965</v>
      </c>
      <c r="H25">
        <v>2346</v>
      </c>
      <c r="I25">
        <v>1765</v>
      </c>
      <c r="J25">
        <v>2296</v>
      </c>
      <c r="K25">
        <v>13372</v>
      </c>
      <c r="L25">
        <v>3941</v>
      </c>
      <c r="M25">
        <v>2232</v>
      </c>
      <c r="N25">
        <v>1867</v>
      </c>
      <c r="O25">
        <v>2441</v>
      </c>
      <c r="P25">
        <v>10481</v>
      </c>
      <c r="Q25">
        <v>3682</v>
      </c>
      <c r="R25">
        <v>1886</v>
      </c>
      <c r="S25">
        <v>1884</v>
      </c>
      <c r="T25">
        <v>2228</v>
      </c>
      <c r="U25">
        <v>9680</v>
      </c>
      <c r="V25">
        <v>4824</v>
      </c>
      <c r="W25">
        <v>4381</v>
      </c>
      <c r="X25">
        <v>2625</v>
      </c>
      <c r="Y25">
        <v>2697</v>
      </c>
      <c r="Z25">
        <v>14527</v>
      </c>
      <c r="AA25">
        <v>6611</v>
      </c>
      <c r="AB25">
        <v>5129</v>
      </c>
      <c r="AC25">
        <v>3624</v>
      </c>
    </row>
    <row r="26" spans="1:29" s="9" customFormat="1" x14ac:dyDescent="0.2">
      <c r="A26" s="13" t="s">
        <v>95</v>
      </c>
      <c r="B26" s="13">
        <v>1452</v>
      </c>
      <c r="C26" s="13">
        <v>1370</v>
      </c>
      <c r="D26" s="13">
        <v>1942</v>
      </c>
      <c r="E26" s="13">
        <v>1202</v>
      </c>
      <c r="F26" s="13">
        <v>5966</v>
      </c>
      <c r="G26" s="13">
        <v>-33737</v>
      </c>
      <c r="H26" s="13">
        <v>-498</v>
      </c>
      <c r="I26" s="13">
        <v>1126</v>
      </c>
      <c r="J26" s="13">
        <v>519</v>
      </c>
      <c r="K26" s="13">
        <v>-32590</v>
      </c>
      <c r="L26" s="13">
        <v>53</v>
      </c>
      <c r="M26" s="13">
        <v>-177</v>
      </c>
      <c r="N26" s="13">
        <v>86</v>
      </c>
      <c r="O26" s="13">
        <v>-302</v>
      </c>
      <c r="P26" s="13">
        <v>-340</v>
      </c>
      <c r="Q26" s="13">
        <v>-349</v>
      </c>
      <c r="R26" s="13">
        <v>-302</v>
      </c>
      <c r="S26" s="13">
        <v>833</v>
      </c>
      <c r="T26" s="13">
        <v>-397</v>
      </c>
      <c r="U26" s="13">
        <v>-215</v>
      </c>
      <c r="V26" s="13">
        <v>-58</v>
      </c>
      <c r="W26" s="13">
        <v>-149</v>
      </c>
      <c r="X26" s="13">
        <v>-530</v>
      </c>
      <c r="Y26" s="13">
        <v>-4037</v>
      </c>
      <c r="Z26" s="13">
        <v>-4774</v>
      </c>
      <c r="AA26" s="13">
        <v>682</v>
      </c>
      <c r="AB26" s="13">
        <v>406</v>
      </c>
      <c r="AC26" s="13">
        <v>1668</v>
      </c>
    </row>
    <row r="27" spans="1:29" s="10" customFormat="1" x14ac:dyDescent="0.2">
      <c r="A27" s="10" t="s">
        <v>89</v>
      </c>
      <c r="B27" s="10">
        <f>-B25+B26</f>
        <v>-4837</v>
      </c>
      <c r="C27" s="10">
        <f t="shared" ref="C27:AC27" si="3">-C25+C26</f>
        <v>-2285</v>
      </c>
      <c r="D27" s="10">
        <f t="shared" si="3"/>
        <v>-649</v>
      </c>
      <c r="E27" s="10">
        <f t="shared" si="3"/>
        <v>-2001</v>
      </c>
      <c r="F27" s="10">
        <f t="shared" si="3"/>
        <v>-9772</v>
      </c>
      <c r="G27" s="10">
        <f t="shared" si="3"/>
        <v>-40702</v>
      </c>
      <c r="H27" s="10">
        <f t="shared" si="3"/>
        <v>-2844</v>
      </c>
      <c r="I27" s="10">
        <f t="shared" si="3"/>
        <v>-639</v>
      </c>
      <c r="J27" s="10">
        <f t="shared" si="3"/>
        <v>-1777</v>
      </c>
      <c r="K27" s="10">
        <f t="shared" si="3"/>
        <v>-45962</v>
      </c>
      <c r="L27" s="10">
        <f t="shared" si="3"/>
        <v>-3888</v>
      </c>
      <c r="M27" s="10">
        <f t="shared" si="3"/>
        <v>-2409</v>
      </c>
      <c r="N27" s="10">
        <f t="shared" si="3"/>
        <v>-1781</v>
      </c>
      <c r="O27" s="10">
        <f t="shared" si="3"/>
        <v>-2743</v>
      </c>
      <c r="P27" s="10">
        <f t="shared" si="3"/>
        <v>-10821</v>
      </c>
      <c r="Q27" s="10">
        <f t="shared" si="3"/>
        <v>-4031</v>
      </c>
      <c r="R27" s="10">
        <f t="shared" si="3"/>
        <v>-2188</v>
      </c>
      <c r="S27" s="10">
        <f t="shared" si="3"/>
        <v>-1051</v>
      </c>
      <c r="T27" s="10">
        <f t="shared" si="3"/>
        <v>-2625</v>
      </c>
      <c r="U27" s="10">
        <f t="shared" si="3"/>
        <v>-9895</v>
      </c>
      <c r="V27" s="10">
        <f t="shared" si="3"/>
        <v>-4882</v>
      </c>
      <c r="W27" s="10">
        <f t="shared" si="3"/>
        <v>-4530</v>
      </c>
      <c r="X27" s="10">
        <f t="shared" si="3"/>
        <v>-3155</v>
      </c>
      <c r="Y27" s="10">
        <f t="shared" si="3"/>
        <v>-6734</v>
      </c>
      <c r="Z27" s="10">
        <f t="shared" si="3"/>
        <v>-19301</v>
      </c>
      <c r="AA27" s="10">
        <f t="shared" si="3"/>
        <v>-5929</v>
      </c>
      <c r="AB27" s="10">
        <f t="shared" si="3"/>
        <v>-4723</v>
      </c>
      <c r="AC27" s="10">
        <f t="shared" si="3"/>
        <v>-1956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EF0D0-2128-464D-9E9E-BD40328128B3}">
  <sheetPr codeName="Sheet8"/>
  <dimension ref="A1:AC36"/>
  <sheetViews>
    <sheetView workbookViewId="0">
      <pane xSplit="1" ySplit="1" topLeftCell="R2" activePane="bottomRight" state="frozen"/>
      <selection pane="topRight" activeCell="B1" sqref="B1"/>
      <selection pane="bottomLeft" activeCell="A2" sqref="A2"/>
      <selection pane="bottomRight" activeCell="F14" sqref="F14"/>
    </sheetView>
  </sheetViews>
  <sheetFormatPr baseColWidth="10" defaultRowHeight="16" x14ac:dyDescent="0.2"/>
  <cols>
    <col min="1" max="1" width="53.5" customWidth="1"/>
  </cols>
  <sheetData>
    <row r="1" spans="1:29" x14ac:dyDescent="0.2">
      <c r="A1" s="4" t="s">
        <v>67</v>
      </c>
      <c r="B1" s="4" t="s">
        <v>73</v>
      </c>
      <c r="C1" s="4" t="s">
        <v>44</v>
      </c>
      <c r="D1" s="4" t="s">
        <v>45</v>
      </c>
      <c r="E1" s="4" t="s">
        <v>68</v>
      </c>
      <c r="F1" s="4" t="s">
        <v>46</v>
      </c>
      <c r="G1" s="4" t="s">
        <v>74</v>
      </c>
      <c r="H1" s="4" t="s">
        <v>47</v>
      </c>
      <c r="I1" s="4" t="s">
        <v>48</v>
      </c>
      <c r="J1" s="4" t="s">
        <v>69</v>
      </c>
      <c r="K1" s="4" t="s">
        <v>49</v>
      </c>
      <c r="L1" s="4" t="s">
        <v>75</v>
      </c>
      <c r="M1" s="4" t="s">
        <v>50</v>
      </c>
      <c r="N1" s="4" t="s">
        <v>51</v>
      </c>
      <c r="O1" s="4" t="s">
        <v>70</v>
      </c>
      <c r="P1" s="4" t="s">
        <v>52</v>
      </c>
      <c r="Q1" s="4" t="s">
        <v>76</v>
      </c>
      <c r="R1" s="4" t="s">
        <v>53</v>
      </c>
      <c r="S1" s="4" t="s">
        <v>54</v>
      </c>
      <c r="T1" s="4" t="s">
        <v>71</v>
      </c>
      <c r="U1" s="4" t="s">
        <v>55</v>
      </c>
      <c r="V1" s="4" t="s">
        <v>77</v>
      </c>
      <c r="W1" s="4" t="s">
        <v>56</v>
      </c>
      <c r="X1" s="4" t="s">
        <v>57</v>
      </c>
      <c r="Y1" s="4" t="s">
        <v>72</v>
      </c>
      <c r="Z1" s="4" t="s">
        <v>58</v>
      </c>
      <c r="AA1" s="4" t="s">
        <v>78</v>
      </c>
      <c r="AB1" s="4" t="s">
        <v>59</v>
      </c>
      <c r="AC1" s="4" t="s">
        <v>60</v>
      </c>
    </row>
    <row r="2" spans="1:29" x14ac:dyDescent="0.2">
      <c r="A2" s="5" t="s">
        <v>230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x14ac:dyDescent="0.2">
      <c r="A3" s="5" t="s">
        <v>231</v>
      </c>
      <c r="B3" s="5">
        <v>78351</v>
      </c>
      <c r="C3" s="5">
        <v>52896</v>
      </c>
      <c r="D3" s="5">
        <v>45408</v>
      </c>
      <c r="E3" s="5">
        <v>52579</v>
      </c>
      <c r="F3" s="5">
        <v>229234</v>
      </c>
      <c r="G3" s="5">
        <v>88293</v>
      </c>
      <c r="H3" s="5">
        <v>61137</v>
      </c>
      <c r="I3" s="5">
        <v>53265</v>
      </c>
      <c r="J3" s="5">
        <v>62900</v>
      </c>
      <c r="K3" s="5">
        <v>265595</v>
      </c>
      <c r="L3" s="5">
        <v>84310</v>
      </c>
      <c r="M3" s="5">
        <v>58015</v>
      </c>
      <c r="N3" s="5">
        <v>53809</v>
      </c>
      <c r="O3" s="5">
        <v>64040</v>
      </c>
      <c r="P3" s="5">
        <v>260174</v>
      </c>
      <c r="Q3" s="5">
        <v>91819</v>
      </c>
      <c r="R3" s="5">
        <v>58313</v>
      </c>
      <c r="S3" s="5">
        <v>59685</v>
      </c>
      <c r="T3" s="5">
        <v>64698</v>
      </c>
      <c r="U3" s="5">
        <v>274515</v>
      </c>
      <c r="V3" s="5">
        <v>111439</v>
      </c>
      <c r="W3" s="5">
        <v>89584</v>
      </c>
      <c r="X3" s="5">
        <v>81434</v>
      </c>
      <c r="Y3" s="5">
        <v>83360</v>
      </c>
      <c r="Z3" s="5">
        <v>365817</v>
      </c>
      <c r="AA3" s="5">
        <v>123945</v>
      </c>
      <c r="AB3" s="5">
        <v>97278</v>
      </c>
      <c r="AC3" s="5">
        <v>82959</v>
      </c>
    </row>
    <row r="4" spans="1:29" x14ac:dyDescent="0.2">
      <c r="A4" s="5" t="s">
        <v>232</v>
      </c>
      <c r="B4" s="5">
        <v>48175</v>
      </c>
      <c r="C4" s="5">
        <v>32305</v>
      </c>
      <c r="D4" s="5">
        <v>27920</v>
      </c>
      <c r="E4" s="5">
        <v>32648</v>
      </c>
      <c r="F4" s="5">
        <v>141048</v>
      </c>
      <c r="G4" s="5">
        <v>54381</v>
      </c>
      <c r="H4" s="5">
        <v>37715</v>
      </c>
      <c r="I4" s="5">
        <v>32844</v>
      </c>
      <c r="J4" s="5">
        <v>38816</v>
      </c>
      <c r="K4" s="5">
        <v>163756</v>
      </c>
      <c r="L4" s="5">
        <v>52279</v>
      </c>
      <c r="M4" s="5">
        <v>36194</v>
      </c>
      <c r="N4" s="5">
        <v>33582</v>
      </c>
      <c r="O4" s="5">
        <v>39727</v>
      </c>
      <c r="P4" s="5">
        <v>161782</v>
      </c>
      <c r="Q4" s="5">
        <v>56602</v>
      </c>
      <c r="R4" s="5">
        <v>35943</v>
      </c>
      <c r="S4" s="5">
        <v>37005</v>
      </c>
      <c r="T4" s="5">
        <v>40009</v>
      </c>
      <c r="U4" s="5">
        <v>169559</v>
      </c>
      <c r="V4" s="5">
        <v>67111</v>
      </c>
      <c r="W4" s="5">
        <v>51505</v>
      </c>
      <c r="X4" s="5">
        <v>46179</v>
      </c>
      <c r="Y4" s="5">
        <v>48186</v>
      </c>
      <c r="Z4" s="5">
        <v>212981</v>
      </c>
      <c r="AA4" s="5">
        <v>69702</v>
      </c>
      <c r="AB4" s="5">
        <v>54719</v>
      </c>
      <c r="AC4" s="5">
        <v>47074</v>
      </c>
    </row>
    <row r="5" spans="1:29" x14ac:dyDescent="0.2">
      <c r="A5" s="5" t="s">
        <v>233</v>
      </c>
      <c r="B5" s="5">
        <v>30176</v>
      </c>
      <c r="C5" s="5">
        <v>20591</v>
      </c>
      <c r="D5" s="5">
        <v>17488</v>
      </c>
      <c r="E5" s="5">
        <v>19931</v>
      </c>
      <c r="F5" s="5">
        <v>88186</v>
      </c>
      <c r="G5" s="5">
        <v>33912</v>
      </c>
      <c r="H5" s="5">
        <v>23422</v>
      </c>
      <c r="I5" s="5">
        <v>20421</v>
      </c>
      <c r="J5" s="5">
        <v>24084</v>
      </c>
      <c r="K5" s="5">
        <v>101839</v>
      </c>
      <c r="L5" s="5">
        <v>32031</v>
      </c>
      <c r="M5" s="5">
        <v>21821</v>
      </c>
      <c r="N5" s="5">
        <v>20227</v>
      </c>
      <c r="O5" s="5">
        <v>24313</v>
      </c>
      <c r="P5" s="5">
        <v>98392</v>
      </c>
      <c r="Q5" s="5">
        <v>35217</v>
      </c>
      <c r="R5" s="5">
        <v>22370</v>
      </c>
      <c r="S5" s="5">
        <v>22680</v>
      </c>
      <c r="T5" s="5">
        <v>24689</v>
      </c>
      <c r="U5" s="5">
        <v>104956</v>
      </c>
      <c r="V5" s="5">
        <v>44328</v>
      </c>
      <c r="W5" s="5">
        <v>38079</v>
      </c>
      <c r="X5" s="5">
        <v>35255</v>
      </c>
      <c r="Y5" s="5">
        <v>35174</v>
      </c>
      <c r="Z5" s="5">
        <v>152836</v>
      </c>
      <c r="AA5" s="5">
        <v>54243</v>
      </c>
      <c r="AB5" s="5">
        <v>42559</v>
      </c>
      <c r="AC5" s="5">
        <v>35885</v>
      </c>
    </row>
    <row r="6" spans="1:29" x14ac:dyDescent="0.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spans="1:29" x14ac:dyDescent="0.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29" x14ac:dyDescent="0.2">
      <c r="A8" s="5" t="s">
        <v>234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29" x14ac:dyDescent="0.2">
      <c r="A9" s="5" t="s">
        <v>235</v>
      </c>
      <c r="B9" s="5">
        <v>2871</v>
      </c>
      <c r="C9" s="5">
        <v>2776</v>
      </c>
      <c r="D9" s="5">
        <v>2937</v>
      </c>
      <c r="E9" s="5">
        <v>2997</v>
      </c>
      <c r="F9" s="5">
        <v>11581</v>
      </c>
      <c r="G9" s="5">
        <v>3407</v>
      </c>
      <c r="H9" s="5">
        <v>3378</v>
      </c>
      <c r="I9" s="5">
        <v>3701</v>
      </c>
      <c r="J9" s="5">
        <v>3750</v>
      </c>
      <c r="K9" s="5">
        <v>14236</v>
      </c>
      <c r="L9" s="5">
        <v>3902</v>
      </c>
      <c r="M9" s="5">
        <v>3948</v>
      </c>
      <c r="N9" s="5">
        <v>4257</v>
      </c>
      <c r="O9" s="5">
        <v>4110</v>
      </c>
      <c r="P9" s="5">
        <v>16217</v>
      </c>
      <c r="Q9" s="5">
        <v>4451</v>
      </c>
      <c r="R9" s="5">
        <v>4565</v>
      </c>
      <c r="S9" s="5">
        <v>4758</v>
      </c>
      <c r="T9" s="5">
        <v>4978</v>
      </c>
      <c r="U9" s="5">
        <v>18752</v>
      </c>
      <c r="V9" s="5">
        <v>5163</v>
      </c>
      <c r="W9" s="5">
        <v>5262</v>
      </c>
      <c r="X9" s="5">
        <v>5717</v>
      </c>
      <c r="Y9" s="5">
        <v>5772</v>
      </c>
      <c r="Z9" s="5">
        <v>21914</v>
      </c>
      <c r="AA9" s="5">
        <v>6306</v>
      </c>
      <c r="AB9" s="5">
        <v>6387</v>
      </c>
      <c r="AC9" s="5">
        <v>6797</v>
      </c>
    </row>
    <row r="10" spans="1:29" x14ac:dyDescent="0.2">
      <c r="A10" s="5" t="s">
        <v>236</v>
      </c>
      <c r="B10" s="5">
        <v>3946</v>
      </c>
      <c r="C10" s="5">
        <v>3718</v>
      </c>
      <c r="D10" s="5">
        <v>3783</v>
      </c>
      <c r="E10" s="5">
        <v>3814</v>
      </c>
      <c r="F10" s="5">
        <v>15261</v>
      </c>
      <c r="G10" s="5">
        <v>4231</v>
      </c>
      <c r="H10" s="5">
        <v>4150</v>
      </c>
      <c r="I10" s="5">
        <v>4108</v>
      </c>
      <c r="J10" s="5">
        <v>4216</v>
      </c>
      <c r="K10" s="5">
        <v>16705</v>
      </c>
      <c r="L10" s="5">
        <v>4783</v>
      </c>
      <c r="M10" s="5">
        <v>4458</v>
      </c>
      <c r="N10" s="5">
        <v>4426</v>
      </c>
      <c r="O10" s="5">
        <v>4578</v>
      </c>
      <c r="P10" s="5">
        <v>18245</v>
      </c>
      <c r="Q10" s="5">
        <v>5197</v>
      </c>
      <c r="R10" s="5">
        <v>4952</v>
      </c>
      <c r="S10" s="5">
        <v>4831</v>
      </c>
      <c r="T10" s="5">
        <v>4936</v>
      </c>
      <c r="U10" s="5">
        <v>19916</v>
      </c>
      <c r="V10" s="5">
        <v>5631</v>
      </c>
      <c r="W10" s="5">
        <v>5314</v>
      </c>
      <c r="X10" s="5">
        <v>5412</v>
      </c>
      <c r="Y10" s="5">
        <v>5616</v>
      </c>
      <c r="Z10" s="5">
        <v>21973</v>
      </c>
      <c r="AA10" s="5">
        <v>6449</v>
      </c>
      <c r="AB10" s="5">
        <v>6193</v>
      </c>
      <c r="AC10" s="5">
        <v>6012</v>
      </c>
    </row>
    <row r="11" spans="1:29" x14ac:dyDescent="0.2">
      <c r="A11" s="5" t="s">
        <v>237</v>
      </c>
      <c r="B11" s="5">
        <v>6817</v>
      </c>
      <c r="C11" s="5">
        <v>6494</v>
      </c>
      <c r="D11" s="5">
        <v>6720</v>
      </c>
      <c r="E11" s="5">
        <v>6811</v>
      </c>
      <c r="F11" s="5">
        <v>26842</v>
      </c>
      <c r="G11" s="5">
        <v>7638</v>
      </c>
      <c r="H11" s="5">
        <v>7528</v>
      </c>
      <c r="I11" s="5">
        <v>7809</v>
      </c>
      <c r="J11" s="5">
        <v>7966</v>
      </c>
      <c r="K11" s="5">
        <v>30941</v>
      </c>
      <c r="L11" s="5">
        <v>8685</v>
      </c>
      <c r="M11" s="5">
        <v>8406</v>
      </c>
      <c r="N11" s="5">
        <v>8683</v>
      </c>
      <c r="O11" s="5">
        <v>8688</v>
      </c>
      <c r="P11" s="5">
        <v>34462</v>
      </c>
      <c r="Q11" s="5">
        <v>9648</v>
      </c>
      <c r="R11" s="5">
        <v>9517</v>
      </c>
      <c r="S11" s="5">
        <v>9589</v>
      </c>
      <c r="T11" s="5">
        <v>9914</v>
      </c>
      <c r="U11" s="5">
        <v>38668</v>
      </c>
      <c r="V11" s="5">
        <v>10794</v>
      </c>
      <c r="W11" s="5">
        <v>10576</v>
      </c>
      <c r="X11" s="5">
        <v>11129</v>
      </c>
      <c r="Y11" s="5">
        <v>11388</v>
      </c>
      <c r="Z11" s="5">
        <v>43887</v>
      </c>
      <c r="AA11" s="5">
        <v>12755</v>
      </c>
      <c r="AB11" s="5">
        <v>12580</v>
      </c>
      <c r="AC11" s="5">
        <v>12809</v>
      </c>
    </row>
    <row r="12" spans="1:29" x14ac:dyDescent="0.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x14ac:dyDescent="0.2">
      <c r="A13" s="5" t="s">
        <v>238</v>
      </c>
      <c r="B13" s="5">
        <v>23359</v>
      </c>
      <c r="C13" s="5">
        <v>14097</v>
      </c>
      <c r="D13" s="5">
        <v>10768</v>
      </c>
      <c r="E13" s="5">
        <v>13120</v>
      </c>
      <c r="F13" s="5">
        <v>61344</v>
      </c>
      <c r="G13" s="5">
        <v>26274</v>
      </c>
      <c r="H13" s="5">
        <v>15894</v>
      </c>
      <c r="I13" s="5">
        <v>12612</v>
      </c>
      <c r="J13" s="5">
        <v>16118</v>
      </c>
      <c r="K13" s="5">
        <v>70898</v>
      </c>
      <c r="L13" s="5">
        <v>23346</v>
      </c>
      <c r="M13" s="5">
        <v>13415</v>
      </c>
      <c r="N13" s="5">
        <v>11544</v>
      </c>
      <c r="O13" s="5">
        <v>15625</v>
      </c>
      <c r="P13" s="5">
        <v>63930</v>
      </c>
      <c r="Q13" s="5">
        <v>25569</v>
      </c>
      <c r="R13" s="5">
        <v>12853</v>
      </c>
      <c r="S13" s="5">
        <v>13091</v>
      </c>
      <c r="T13" s="5">
        <v>14775</v>
      </c>
      <c r="U13" s="5">
        <v>66288</v>
      </c>
      <c r="V13" s="5">
        <v>33534</v>
      </c>
      <c r="W13" s="5">
        <v>27503</v>
      </c>
      <c r="X13" s="5">
        <v>24126</v>
      </c>
      <c r="Y13" s="5">
        <v>23786</v>
      </c>
      <c r="Z13" s="5">
        <v>108949</v>
      </c>
      <c r="AA13" s="5">
        <v>41488</v>
      </c>
      <c r="AB13" s="5">
        <v>29979</v>
      </c>
      <c r="AC13" s="5">
        <v>23076</v>
      </c>
    </row>
    <row r="14" spans="1:29" x14ac:dyDescent="0.2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x14ac:dyDescent="0.2">
      <c r="A15" s="5" t="s">
        <v>150</v>
      </c>
      <c r="B15" s="5">
        <v>821</v>
      </c>
      <c r="C15" s="5">
        <v>587</v>
      </c>
      <c r="D15" s="5">
        <v>540</v>
      </c>
      <c r="E15" s="5">
        <v>797</v>
      </c>
      <c r="F15" s="5">
        <v>2745</v>
      </c>
      <c r="G15" s="5">
        <v>756</v>
      </c>
      <c r="H15" s="5">
        <v>274</v>
      </c>
      <c r="I15" s="5">
        <v>672</v>
      </c>
      <c r="J15" s="5">
        <v>303</v>
      </c>
      <c r="K15" s="5">
        <v>2005</v>
      </c>
      <c r="L15" s="5">
        <v>560</v>
      </c>
      <c r="M15" s="5">
        <v>378</v>
      </c>
      <c r="N15" s="5">
        <v>367</v>
      </c>
      <c r="O15" s="5">
        <v>502</v>
      </c>
      <c r="P15" s="5">
        <v>1807</v>
      </c>
      <c r="Q15" s="5">
        <v>349</v>
      </c>
      <c r="R15" s="5">
        <v>282</v>
      </c>
      <c r="S15" s="5">
        <v>46</v>
      </c>
      <c r="T15" s="5">
        <v>126</v>
      </c>
      <c r="U15" s="5">
        <v>803</v>
      </c>
      <c r="V15" s="5">
        <v>45</v>
      </c>
      <c r="W15" s="5">
        <v>508</v>
      </c>
      <c r="X15" s="5">
        <v>243</v>
      </c>
      <c r="Y15" s="5">
        <v>-538</v>
      </c>
      <c r="Z15" s="5">
        <v>258</v>
      </c>
      <c r="AA15" s="5">
        <v>-247</v>
      </c>
      <c r="AB15" s="5">
        <v>160</v>
      </c>
      <c r="AC15" s="5">
        <v>-10</v>
      </c>
    </row>
    <row r="16" spans="1:29" x14ac:dyDescent="0.2">
      <c r="A16" s="5" t="s">
        <v>239</v>
      </c>
      <c r="B16" s="5">
        <v>24180</v>
      </c>
      <c r="C16" s="5">
        <v>14684</v>
      </c>
      <c r="D16" s="5">
        <v>11308</v>
      </c>
      <c r="E16" s="5">
        <v>13917</v>
      </c>
      <c r="F16" s="5">
        <v>64089</v>
      </c>
      <c r="G16" s="5">
        <v>27030</v>
      </c>
      <c r="H16" s="5">
        <v>16168</v>
      </c>
      <c r="I16" s="5">
        <v>13284</v>
      </c>
      <c r="J16" s="5">
        <v>16421</v>
      </c>
      <c r="K16" s="5">
        <v>72903</v>
      </c>
      <c r="L16" s="5">
        <v>23906</v>
      </c>
      <c r="M16" s="5">
        <v>13793</v>
      </c>
      <c r="N16" s="5">
        <v>11911</v>
      </c>
      <c r="O16" s="5">
        <v>16127</v>
      </c>
      <c r="P16" s="5">
        <v>65737</v>
      </c>
      <c r="Q16" s="5">
        <v>25918</v>
      </c>
      <c r="R16" s="5">
        <v>13135</v>
      </c>
      <c r="S16" s="5">
        <v>13137</v>
      </c>
      <c r="T16" s="5">
        <v>14901</v>
      </c>
      <c r="U16" s="5">
        <v>67091</v>
      </c>
      <c r="V16" s="5">
        <v>33579</v>
      </c>
      <c r="W16" s="5">
        <v>28011</v>
      </c>
      <c r="X16" s="5">
        <v>24369</v>
      </c>
      <c r="Y16" s="5">
        <v>23248</v>
      </c>
      <c r="Z16" s="5">
        <v>109207</v>
      </c>
      <c r="AA16" s="5">
        <v>41241</v>
      </c>
      <c r="AB16" s="5">
        <v>30139</v>
      </c>
      <c r="AC16" s="5">
        <v>23066</v>
      </c>
    </row>
    <row r="17" spans="1:29" x14ac:dyDescent="0.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spans="1:29" x14ac:dyDescent="0.2">
      <c r="A18" s="5" t="s">
        <v>149</v>
      </c>
      <c r="B18" s="5">
        <v>6289</v>
      </c>
      <c r="C18" s="5">
        <v>3655</v>
      </c>
      <c r="D18" s="5">
        <v>2591</v>
      </c>
      <c r="E18" s="5">
        <v>3203</v>
      </c>
      <c r="F18" s="5">
        <v>15738</v>
      </c>
      <c r="G18" s="5">
        <v>6965</v>
      </c>
      <c r="H18" s="5">
        <v>2346</v>
      </c>
      <c r="I18" s="5">
        <v>1765</v>
      </c>
      <c r="J18" s="5">
        <v>2296</v>
      </c>
      <c r="K18" s="5">
        <v>13372</v>
      </c>
      <c r="L18" s="5">
        <v>3941</v>
      </c>
      <c r="M18" s="5">
        <v>2232</v>
      </c>
      <c r="N18" s="5">
        <v>1867</v>
      </c>
      <c r="O18" s="5">
        <v>2441</v>
      </c>
      <c r="P18" s="5">
        <v>10481</v>
      </c>
      <c r="Q18" s="5">
        <v>3682</v>
      </c>
      <c r="R18" s="5">
        <v>1886</v>
      </c>
      <c r="S18" s="5">
        <v>1884</v>
      </c>
      <c r="T18" s="5">
        <v>2228</v>
      </c>
      <c r="U18" s="5">
        <v>9680</v>
      </c>
      <c r="V18" s="5">
        <v>4824</v>
      </c>
      <c r="W18" s="5">
        <v>4381</v>
      </c>
      <c r="X18" s="5">
        <v>2625</v>
      </c>
      <c r="Y18" s="5">
        <v>2697</v>
      </c>
      <c r="Z18" s="5">
        <v>14527</v>
      </c>
      <c r="AA18" s="5">
        <v>6611</v>
      </c>
      <c r="AB18" s="5">
        <v>5129</v>
      </c>
      <c r="AC18" s="5">
        <v>3624</v>
      </c>
    </row>
    <row r="19" spans="1:29" x14ac:dyDescent="0.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spans="1:29" x14ac:dyDescent="0.2">
      <c r="A20" s="5" t="s">
        <v>240</v>
      </c>
      <c r="B20" s="5">
        <v>17891</v>
      </c>
      <c r="C20" s="5">
        <v>11029</v>
      </c>
      <c r="D20" s="5">
        <v>8717</v>
      </c>
      <c r="E20" s="5">
        <v>10714</v>
      </c>
      <c r="F20" s="5">
        <v>48351</v>
      </c>
      <c r="G20" s="5">
        <v>20065</v>
      </c>
      <c r="H20" s="5">
        <v>13822</v>
      </c>
      <c r="I20" s="5">
        <v>11519</v>
      </c>
      <c r="J20" s="5">
        <v>14125</v>
      </c>
      <c r="K20" s="5">
        <v>59531</v>
      </c>
      <c r="L20" s="5">
        <v>19965</v>
      </c>
      <c r="M20" s="5">
        <v>11561</v>
      </c>
      <c r="N20" s="5">
        <v>10044</v>
      </c>
      <c r="O20" s="5">
        <v>13686</v>
      </c>
      <c r="P20" s="5">
        <v>55256</v>
      </c>
      <c r="Q20" s="5">
        <v>22236</v>
      </c>
      <c r="R20" s="5">
        <v>11249</v>
      </c>
      <c r="S20" s="5">
        <v>11253</v>
      </c>
      <c r="T20" s="5">
        <v>12673</v>
      </c>
      <c r="U20" s="5">
        <v>57411</v>
      </c>
      <c r="V20" s="5">
        <v>28755</v>
      </c>
      <c r="W20" s="5">
        <v>23630</v>
      </c>
      <c r="X20" s="5">
        <v>21744</v>
      </c>
      <c r="Y20" s="5">
        <v>20551</v>
      </c>
      <c r="Z20" s="5">
        <v>94680</v>
      </c>
      <c r="AA20" s="5">
        <v>34630</v>
      </c>
      <c r="AB20" s="5">
        <v>25010</v>
      </c>
      <c r="AC20" s="5">
        <v>19442</v>
      </c>
    </row>
    <row r="21" spans="1:29" x14ac:dyDescent="0.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spans="1:29" x14ac:dyDescent="0.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spans="1:29" x14ac:dyDescent="0.2">
      <c r="A23" s="5" t="s">
        <v>241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spans="1:29" x14ac:dyDescent="0.2">
      <c r="A24" s="5" t="s">
        <v>242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spans="1:29" x14ac:dyDescent="0.2">
      <c r="A25" s="5" t="s">
        <v>243</v>
      </c>
      <c r="B25" s="5">
        <v>3.38</v>
      </c>
      <c r="C25" s="5">
        <v>2.11</v>
      </c>
      <c r="D25" s="5">
        <v>1.68</v>
      </c>
      <c r="E25" s="5">
        <v>2.1</v>
      </c>
      <c r="F25" s="5">
        <v>9.27</v>
      </c>
      <c r="G25" s="5">
        <v>3.92</v>
      </c>
      <c r="H25" s="5">
        <v>2.75</v>
      </c>
      <c r="I25" s="5">
        <v>2.36</v>
      </c>
      <c r="J25" s="5">
        <v>2.98</v>
      </c>
      <c r="K25" s="5">
        <v>12.01</v>
      </c>
      <c r="L25" s="5">
        <v>4.22</v>
      </c>
      <c r="M25" s="5">
        <v>2.4700000000000002</v>
      </c>
      <c r="N25" s="5">
        <v>2.2000000000000002</v>
      </c>
      <c r="O25" s="5">
        <v>3.08</v>
      </c>
      <c r="P25" s="5">
        <v>11.97</v>
      </c>
      <c r="Q25" s="5">
        <v>5.04</v>
      </c>
      <c r="R25" s="5">
        <v>2.58</v>
      </c>
      <c r="S25" s="5">
        <v>2.61</v>
      </c>
      <c r="T25" s="5">
        <v>-6.92</v>
      </c>
      <c r="U25" s="5">
        <v>3.31</v>
      </c>
      <c r="V25" s="5">
        <v>1.7</v>
      </c>
      <c r="W25" s="5">
        <v>1.41</v>
      </c>
      <c r="X25" s="5">
        <v>1.31</v>
      </c>
      <c r="Y25" s="5">
        <v>1.25</v>
      </c>
      <c r="Z25" s="5">
        <v>5.67</v>
      </c>
      <c r="AA25" s="5">
        <v>2.11</v>
      </c>
      <c r="AB25" s="5">
        <v>1.54</v>
      </c>
      <c r="AC25" s="5">
        <v>1.2</v>
      </c>
    </row>
    <row r="26" spans="1:29" x14ac:dyDescent="0.2">
      <c r="A26" s="5" t="s">
        <v>244</v>
      </c>
      <c r="B26" s="5">
        <v>3.36</v>
      </c>
      <c r="C26" s="5">
        <v>2.1</v>
      </c>
      <c r="D26" s="5">
        <v>1.67</v>
      </c>
      <c r="E26" s="5">
        <v>2.08</v>
      </c>
      <c r="F26" s="5">
        <v>9.2100000000000009</v>
      </c>
      <c r="G26" s="5">
        <v>3.89</v>
      </c>
      <c r="H26" s="5">
        <v>2.73</v>
      </c>
      <c r="I26" s="5">
        <v>2.34</v>
      </c>
      <c r="J26" s="5">
        <v>2.95</v>
      </c>
      <c r="K26" s="5">
        <v>11.91</v>
      </c>
      <c r="L26" s="5">
        <v>4.18</v>
      </c>
      <c r="M26" s="5">
        <v>2.46</v>
      </c>
      <c r="N26" s="5">
        <v>2.1800000000000002</v>
      </c>
      <c r="O26" s="5">
        <v>3.07</v>
      </c>
      <c r="P26" s="5">
        <v>11.89</v>
      </c>
      <c r="Q26" s="5">
        <v>4.99</v>
      </c>
      <c r="R26" s="5">
        <v>2.5499999999999998</v>
      </c>
      <c r="S26" s="5">
        <v>2.58</v>
      </c>
      <c r="T26" s="5">
        <v>-6.84</v>
      </c>
      <c r="U26" s="5">
        <v>3.28</v>
      </c>
      <c r="V26" s="5">
        <v>1.68</v>
      </c>
      <c r="W26" s="5">
        <v>1.4</v>
      </c>
      <c r="X26" s="5">
        <v>1.3</v>
      </c>
      <c r="Y26" s="5">
        <v>1.23</v>
      </c>
      <c r="Z26" s="5">
        <v>5.61</v>
      </c>
      <c r="AA26" s="5">
        <v>2.1</v>
      </c>
      <c r="AB26" s="5">
        <v>1.52</v>
      </c>
      <c r="AC26" s="5">
        <v>1.2</v>
      </c>
    </row>
    <row r="27" spans="1:29" x14ac:dyDescent="0.2">
      <c r="A27" s="5" t="s">
        <v>245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</row>
    <row r="28" spans="1:29" x14ac:dyDescent="0.2">
      <c r="A28" s="5" t="s">
        <v>243</v>
      </c>
      <c r="B28" s="5">
        <v>5298661</v>
      </c>
      <c r="C28" s="5">
        <v>5225791</v>
      </c>
      <c r="D28" s="5">
        <v>5195088</v>
      </c>
      <c r="E28" s="81">
        <v>-11000000</v>
      </c>
      <c r="F28" s="5">
        <v>5217242</v>
      </c>
      <c r="G28" s="5">
        <v>5112877</v>
      </c>
      <c r="H28" s="5">
        <v>5024877</v>
      </c>
      <c r="I28" s="5">
        <v>4882167</v>
      </c>
      <c r="J28" s="81">
        <v>-10000000</v>
      </c>
      <c r="K28" s="5">
        <v>4955377</v>
      </c>
      <c r="L28" s="5">
        <v>4735820</v>
      </c>
      <c r="M28" s="5">
        <v>4674071</v>
      </c>
      <c r="N28" s="5">
        <v>4570633</v>
      </c>
      <c r="O28" s="5">
        <v>-9362690</v>
      </c>
      <c r="P28" s="5">
        <v>4617834</v>
      </c>
      <c r="Q28" s="5">
        <v>4415040</v>
      </c>
      <c r="R28" s="5">
        <v>4360101</v>
      </c>
      <c r="S28" s="5">
        <v>4312573</v>
      </c>
      <c r="T28" s="5">
        <v>4264405</v>
      </c>
      <c r="U28" s="5">
        <v>17352119</v>
      </c>
      <c r="V28" s="5">
        <v>16935119</v>
      </c>
      <c r="W28" s="5">
        <v>16753476</v>
      </c>
      <c r="X28" s="5">
        <v>16629371</v>
      </c>
      <c r="Y28" s="81">
        <v>-34000000</v>
      </c>
      <c r="Z28" s="5">
        <v>16701272</v>
      </c>
      <c r="AA28" s="5">
        <v>16391724</v>
      </c>
      <c r="AB28" s="5">
        <v>16278802</v>
      </c>
      <c r="AC28" s="5">
        <v>16162945</v>
      </c>
    </row>
    <row r="29" spans="1:29" x14ac:dyDescent="0.2">
      <c r="A29" s="5" t="s">
        <v>244</v>
      </c>
      <c r="B29" s="5">
        <v>5327995</v>
      </c>
      <c r="C29" s="5">
        <v>5261688</v>
      </c>
      <c r="D29" s="5">
        <v>5233499</v>
      </c>
      <c r="E29" s="81">
        <v>-11000000</v>
      </c>
      <c r="F29" s="5">
        <v>5251692</v>
      </c>
      <c r="G29" s="5">
        <v>5157787</v>
      </c>
      <c r="H29" s="5">
        <v>5068493</v>
      </c>
      <c r="I29" s="5">
        <v>4926609</v>
      </c>
      <c r="J29" s="81">
        <v>-10000000</v>
      </c>
      <c r="K29" s="5">
        <v>5000109</v>
      </c>
      <c r="L29" s="5">
        <v>4773252</v>
      </c>
      <c r="M29" s="5">
        <v>4700646</v>
      </c>
      <c r="N29" s="5">
        <v>4601380</v>
      </c>
      <c r="O29" s="5">
        <v>-9426365</v>
      </c>
      <c r="P29" s="5">
        <v>4648913</v>
      </c>
      <c r="Q29" s="5">
        <v>4454604</v>
      </c>
      <c r="R29" s="5">
        <v>4404691</v>
      </c>
      <c r="S29" s="5">
        <v>4354788</v>
      </c>
      <c r="T29" s="5">
        <v>4314131</v>
      </c>
      <c r="U29" s="5">
        <v>17528214</v>
      </c>
      <c r="V29" s="5">
        <v>17113688</v>
      </c>
      <c r="W29" s="5">
        <v>16929157</v>
      </c>
      <c r="X29" s="5">
        <v>16781735</v>
      </c>
      <c r="Y29" s="81">
        <v>-34000000</v>
      </c>
      <c r="Z29" s="5">
        <v>16864919</v>
      </c>
      <c r="AA29" s="5">
        <v>16519291</v>
      </c>
      <c r="AB29" s="5">
        <v>16403316</v>
      </c>
      <c r="AC29" s="5">
        <v>16262203</v>
      </c>
    </row>
    <row r="30" spans="1:29" x14ac:dyDescent="0.2">
      <c r="A30" s="5" t="s">
        <v>246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spans="1:29" x14ac:dyDescent="0.2">
      <c r="A31" s="5" t="s">
        <v>231</v>
      </c>
      <c r="B31" s="5"/>
      <c r="C31" s="5"/>
      <c r="D31" s="5"/>
      <c r="E31" s="5"/>
      <c r="F31" s="5"/>
      <c r="G31" s="5"/>
      <c r="H31" s="5"/>
      <c r="I31" s="5"/>
      <c r="J31" s="5"/>
      <c r="K31" s="5"/>
      <c r="L31" s="5">
        <v>73435</v>
      </c>
      <c r="M31" s="5">
        <v>46565</v>
      </c>
      <c r="N31" s="5">
        <v>42354</v>
      </c>
      <c r="O31" s="5">
        <v>51529</v>
      </c>
      <c r="P31" s="5">
        <v>213883</v>
      </c>
      <c r="Q31" s="5">
        <v>79104</v>
      </c>
      <c r="R31" s="5">
        <v>44965</v>
      </c>
      <c r="S31" s="5">
        <v>46529</v>
      </c>
      <c r="T31" s="5">
        <v>50149</v>
      </c>
      <c r="U31" s="5">
        <v>220747</v>
      </c>
      <c r="V31" s="5">
        <v>95678</v>
      </c>
      <c r="W31" s="5">
        <v>72683</v>
      </c>
      <c r="X31" s="5">
        <v>63948</v>
      </c>
      <c r="Y31" s="5">
        <v>65083</v>
      </c>
      <c r="Z31" s="5">
        <v>297392</v>
      </c>
      <c r="AA31" s="5">
        <v>104429</v>
      </c>
      <c r="AB31" s="5">
        <v>77457</v>
      </c>
      <c r="AC31" s="5">
        <v>63355</v>
      </c>
    </row>
    <row r="32" spans="1:29" x14ac:dyDescent="0.2">
      <c r="A32" s="5" t="s">
        <v>247</v>
      </c>
      <c r="B32" s="5">
        <v>0.56999999999999995</v>
      </c>
      <c r="C32" s="5">
        <v>0.56999999999999995</v>
      </c>
      <c r="D32" s="5">
        <v>0.63</v>
      </c>
      <c r="E32" s="5">
        <v>0.63</v>
      </c>
      <c r="F32" s="5">
        <v>2.4</v>
      </c>
      <c r="G32" s="5">
        <v>0.63</v>
      </c>
      <c r="H32" s="5">
        <v>0.63</v>
      </c>
      <c r="I32" s="5">
        <v>0.73</v>
      </c>
      <c r="J32" s="5">
        <v>-1.99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spans="1:29" x14ac:dyDescent="0.2">
      <c r="A33" s="5" t="s">
        <v>232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>
        <v>48238</v>
      </c>
      <c r="M33" s="5">
        <v>32047</v>
      </c>
      <c r="N33" s="5">
        <v>29473</v>
      </c>
      <c r="O33" s="5">
        <v>35238</v>
      </c>
      <c r="P33" s="5">
        <v>144996</v>
      </c>
      <c r="Q33" s="5">
        <v>52075</v>
      </c>
      <c r="R33" s="5">
        <v>31321</v>
      </c>
      <c r="S33" s="5">
        <v>32693</v>
      </c>
      <c r="T33" s="5">
        <v>35197</v>
      </c>
      <c r="U33" s="5">
        <v>151286</v>
      </c>
      <c r="V33" s="5">
        <v>62130</v>
      </c>
      <c r="W33" s="5">
        <v>46447</v>
      </c>
      <c r="X33" s="5">
        <v>40899</v>
      </c>
      <c r="Y33" s="5">
        <v>42790</v>
      </c>
      <c r="Z33" s="5">
        <v>192266</v>
      </c>
      <c r="AA33" s="5">
        <v>64309</v>
      </c>
      <c r="AB33" s="5">
        <v>49290</v>
      </c>
      <c r="AC33" s="5">
        <v>41485</v>
      </c>
    </row>
    <row r="34" spans="1:29" x14ac:dyDescent="0.2">
      <c r="A34" s="5" t="s">
        <v>65</v>
      </c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spans="1:29" x14ac:dyDescent="0.2">
      <c r="A35" s="5" t="s">
        <v>231</v>
      </c>
      <c r="B35" s="5"/>
      <c r="C35" s="5"/>
      <c r="D35" s="5"/>
      <c r="E35" s="5"/>
      <c r="F35" s="5"/>
      <c r="G35" s="5"/>
      <c r="H35" s="5"/>
      <c r="I35" s="5"/>
      <c r="J35" s="5"/>
      <c r="K35" s="5"/>
      <c r="L35" s="5">
        <v>10875</v>
      </c>
      <c r="M35" s="5">
        <v>11450</v>
      </c>
      <c r="N35" s="5">
        <v>11455</v>
      </c>
      <c r="O35" s="5">
        <v>12511</v>
      </c>
      <c r="P35" s="5">
        <v>46291</v>
      </c>
      <c r="Q35" s="5">
        <v>12715</v>
      </c>
      <c r="R35" s="5">
        <v>13348</v>
      </c>
      <c r="S35" s="5">
        <v>13156</v>
      </c>
      <c r="T35" s="5">
        <v>14549</v>
      </c>
      <c r="U35" s="5">
        <v>53768</v>
      </c>
      <c r="V35" s="5">
        <v>15761</v>
      </c>
      <c r="W35" s="5">
        <v>16901</v>
      </c>
      <c r="X35" s="5">
        <v>17486</v>
      </c>
      <c r="Y35" s="5">
        <v>18277</v>
      </c>
      <c r="Z35" s="5">
        <v>68425</v>
      </c>
      <c r="AA35" s="5">
        <v>19516</v>
      </c>
      <c r="AB35" s="5">
        <v>19821</v>
      </c>
      <c r="AC35" s="5">
        <v>19604</v>
      </c>
    </row>
    <row r="36" spans="1:29" x14ac:dyDescent="0.2">
      <c r="A36" s="5" t="s">
        <v>232</v>
      </c>
      <c r="B36" s="5"/>
      <c r="C36" s="5"/>
      <c r="D36" s="5"/>
      <c r="E36" s="5"/>
      <c r="F36" s="5"/>
      <c r="G36" s="5"/>
      <c r="H36" s="5"/>
      <c r="I36" s="5"/>
      <c r="J36" s="5"/>
      <c r="K36" s="5"/>
      <c r="L36" s="5">
        <v>4041</v>
      </c>
      <c r="M36" s="5">
        <v>4147</v>
      </c>
      <c r="N36" s="5">
        <v>4109</v>
      </c>
      <c r="O36" s="5">
        <v>4489</v>
      </c>
      <c r="P36" s="5">
        <v>16786</v>
      </c>
      <c r="Q36" s="5">
        <v>4527</v>
      </c>
      <c r="R36" s="5">
        <v>4622</v>
      </c>
      <c r="S36" s="5">
        <v>4312</v>
      </c>
      <c r="T36" s="5">
        <v>4812</v>
      </c>
      <c r="U36" s="5">
        <v>18273</v>
      </c>
      <c r="V36" s="5">
        <v>4981</v>
      </c>
      <c r="W36" s="5">
        <v>5058</v>
      </c>
      <c r="X36" s="5">
        <v>5280</v>
      </c>
      <c r="Y36" s="5">
        <v>5396</v>
      </c>
      <c r="Z36" s="5">
        <v>20715</v>
      </c>
      <c r="AA36" s="5">
        <v>5393</v>
      </c>
      <c r="AB36" s="5">
        <v>5429</v>
      </c>
      <c r="AC36" s="5">
        <v>5589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A1686-F872-9B46-86CA-147B4DA4E46C}">
  <sheetPr codeName="Sheet9"/>
  <dimension ref="A1:AR63"/>
  <sheetViews>
    <sheetView workbookViewId="0">
      <pane xSplit="1" ySplit="1" topLeftCell="B371" activePane="bottomRight" state="frozen"/>
      <selection pane="topRight" activeCell="B1" sqref="B1"/>
      <selection pane="bottomLeft" activeCell="A2" sqref="A2"/>
      <selection pane="bottomRight" activeCell="F413" sqref="F413"/>
    </sheetView>
  </sheetViews>
  <sheetFormatPr baseColWidth="10" defaultColWidth="8.83203125" defaultRowHeight="16" x14ac:dyDescent="0.2"/>
  <cols>
    <col min="1" max="1" width="60.83203125" customWidth="1"/>
  </cols>
  <sheetData>
    <row r="1" spans="1:44" x14ac:dyDescent="0.2">
      <c r="A1" s="3" t="s">
        <v>67</v>
      </c>
      <c r="B1" s="3" t="s">
        <v>73</v>
      </c>
      <c r="C1" s="3" t="s">
        <v>44</v>
      </c>
      <c r="D1" s="3" t="s">
        <v>45</v>
      </c>
      <c r="E1" s="3" t="s">
        <v>68</v>
      </c>
      <c r="F1" s="3" t="s">
        <v>46</v>
      </c>
      <c r="G1" s="3" t="s">
        <v>74</v>
      </c>
      <c r="H1" s="3" t="s">
        <v>47</v>
      </c>
      <c r="I1" s="3" t="s">
        <v>48</v>
      </c>
      <c r="J1" s="3" t="s">
        <v>69</v>
      </c>
      <c r="K1" s="3" t="s">
        <v>49</v>
      </c>
      <c r="L1" s="3" t="s">
        <v>75</v>
      </c>
      <c r="M1" s="3" t="s">
        <v>50</v>
      </c>
      <c r="N1" s="3" t="s">
        <v>51</v>
      </c>
      <c r="O1" s="3" t="s">
        <v>70</v>
      </c>
      <c r="P1" s="3" t="s">
        <v>52</v>
      </c>
      <c r="Q1" s="3" t="s">
        <v>76</v>
      </c>
      <c r="R1" s="3" t="s">
        <v>53</v>
      </c>
      <c r="S1" s="3" t="s">
        <v>54</v>
      </c>
      <c r="T1" s="3" t="s">
        <v>71</v>
      </c>
      <c r="U1" s="3" t="s">
        <v>55</v>
      </c>
      <c r="V1" s="3" t="s">
        <v>77</v>
      </c>
      <c r="W1" s="3" t="s">
        <v>56</v>
      </c>
      <c r="X1" s="3" t="s">
        <v>57</v>
      </c>
      <c r="Y1" s="3" t="s">
        <v>72</v>
      </c>
      <c r="Z1" s="3" t="s">
        <v>58</v>
      </c>
      <c r="AA1" s="3" t="s">
        <v>78</v>
      </c>
      <c r="AB1" s="3" t="s">
        <v>59</v>
      </c>
      <c r="AC1" s="3" t="s">
        <v>60</v>
      </c>
      <c r="AD1" s="3"/>
      <c r="AE1" s="3"/>
      <c r="AF1" s="3"/>
      <c r="AG1" s="3" t="s">
        <v>214</v>
      </c>
      <c r="AH1" s="3" t="s">
        <v>215</v>
      </c>
      <c r="AI1" s="3" t="s">
        <v>216</v>
      </c>
      <c r="AJ1" s="3" t="s">
        <v>217</v>
      </c>
      <c r="AK1" s="3" t="s">
        <v>218</v>
      </c>
      <c r="AL1" s="3" t="s">
        <v>219</v>
      </c>
      <c r="AM1" s="3" t="s">
        <v>220</v>
      </c>
      <c r="AN1" s="3" t="s">
        <v>221</v>
      </c>
      <c r="AO1" s="3" t="s">
        <v>222</v>
      </c>
      <c r="AP1" s="3" t="s">
        <v>223</v>
      </c>
      <c r="AQ1" s="3" t="s">
        <v>224</v>
      </c>
      <c r="AR1" s="3" t="s">
        <v>225</v>
      </c>
    </row>
    <row r="2" spans="1:44" x14ac:dyDescent="0.2">
      <c r="A2" t="s">
        <v>226</v>
      </c>
      <c r="AR2" t="s">
        <v>186</v>
      </c>
    </row>
    <row r="3" spans="1:44" x14ac:dyDescent="0.2">
      <c r="A3" t="s">
        <v>39</v>
      </c>
      <c r="B3">
        <v>20484</v>
      </c>
      <c r="C3">
        <v>16371</v>
      </c>
      <c r="D3">
        <v>15157</v>
      </c>
      <c r="E3">
        <v>18571</v>
      </c>
      <c r="F3">
        <v>20484</v>
      </c>
      <c r="G3">
        <v>20289</v>
      </c>
      <c r="H3">
        <v>27491</v>
      </c>
      <c r="I3">
        <v>45059</v>
      </c>
      <c r="J3">
        <v>31971</v>
      </c>
      <c r="K3">
        <v>20289</v>
      </c>
      <c r="L3">
        <v>25913</v>
      </c>
      <c r="M3">
        <v>44771</v>
      </c>
      <c r="N3">
        <v>39817</v>
      </c>
      <c r="O3">
        <v>52151</v>
      </c>
      <c r="P3">
        <v>25913</v>
      </c>
      <c r="Q3">
        <v>50224</v>
      </c>
      <c r="R3">
        <v>41665</v>
      </c>
      <c r="S3">
        <v>43049</v>
      </c>
      <c r="T3">
        <v>35039</v>
      </c>
      <c r="U3">
        <v>50224</v>
      </c>
      <c r="V3">
        <v>39789</v>
      </c>
      <c r="W3">
        <v>37719</v>
      </c>
      <c r="X3">
        <v>40006</v>
      </c>
      <c r="Y3">
        <v>35276</v>
      </c>
      <c r="Z3">
        <v>39789</v>
      </c>
      <c r="AA3">
        <v>35929</v>
      </c>
      <c r="AB3">
        <v>38630</v>
      </c>
      <c r="AC3">
        <v>29180</v>
      </c>
      <c r="AG3">
        <v>20484</v>
      </c>
      <c r="AH3">
        <v>20484</v>
      </c>
      <c r="AI3">
        <v>20289</v>
      </c>
      <c r="AJ3">
        <v>20289</v>
      </c>
      <c r="AK3">
        <v>25913</v>
      </c>
      <c r="AL3">
        <v>25913</v>
      </c>
      <c r="AM3">
        <v>50224</v>
      </c>
      <c r="AN3">
        <v>50224</v>
      </c>
      <c r="AO3">
        <v>39789</v>
      </c>
      <c r="AP3">
        <v>39789</v>
      </c>
      <c r="AQ3">
        <v>35929</v>
      </c>
      <c r="AR3">
        <v>35929</v>
      </c>
    </row>
    <row r="5" spans="1:44" x14ac:dyDescent="0.2">
      <c r="A5" t="s">
        <v>227</v>
      </c>
      <c r="AR5" t="s">
        <v>186</v>
      </c>
    </row>
    <row r="6" spans="1:44" x14ac:dyDescent="0.2">
      <c r="A6" t="s">
        <v>0</v>
      </c>
      <c r="B6">
        <v>17891</v>
      </c>
      <c r="C6">
        <v>11029</v>
      </c>
      <c r="D6">
        <v>8717</v>
      </c>
      <c r="E6">
        <v>10714</v>
      </c>
      <c r="F6">
        <v>48351</v>
      </c>
      <c r="G6">
        <v>20065</v>
      </c>
      <c r="H6">
        <v>13822</v>
      </c>
      <c r="I6">
        <v>11519</v>
      </c>
      <c r="J6">
        <v>14125</v>
      </c>
      <c r="K6">
        <v>59531</v>
      </c>
      <c r="L6">
        <v>19965</v>
      </c>
      <c r="M6">
        <v>11561</v>
      </c>
      <c r="N6">
        <v>10044</v>
      </c>
      <c r="O6">
        <v>13686</v>
      </c>
      <c r="P6">
        <v>55256</v>
      </c>
      <c r="Q6">
        <v>22236</v>
      </c>
      <c r="R6">
        <v>11249</v>
      </c>
      <c r="S6">
        <v>11253</v>
      </c>
      <c r="T6">
        <v>12673</v>
      </c>
      <c r="U6">
        <v>57411</v>
      </c>
      <c r="V6">
        <v>28755</v>
      </c>
      <c r="W6">
        <v>23630</v>
      </c>
      <c r="X6">
        <v>21744</v>
      </c>
      <c r="Y6">
        <v>20551</v>
      </c>
      <c r="Z6">
        <v>94680</v>
      </c>
      <c r="AA6">
        <v>34630</v>
      </c>
      <c r="AB6">
        <v>25010</v>
      </c>
      <c r="AC6">
        <v>19442</v>
      </c>
      <c r="AG6">
        <v>28920</v>
      </c>
      <c r="AH6">
        <v>37637</v>
      </c>
      <c r="AI6">
        <v>33887</v>
      </c>
      <c r="AJ6">
        <v>45406</v>
      </c>
      <c r="AK6">
        <v>31526</v>
      </c>
      <c r="AL6">
        <v>41570</v>
      </c>
      <c r="AM6">
        <v>33485</v>
      </c>
      <c r="AN6">
        <v>44738</v>
      </c>
      <c r="AO6">
        <v>52385</v>
      </c>
      <c r="AP6">
        <v>74129</v>
      </c>
      <c r="AQ6">
        <v>59640</v>
      </c>
      <c r="AR6">
        <v>79082</v>
      </c>
    </row>
    <row r="8" spans="1:44" x14ac:dyDescent="0.2">
      <c r="A8" t="s">
        <v>4</v>
      </c>
      <c r="AR8" t="s">
        <v>186</v>
      </c>
    </row>
    <row r="9" spans="1:44" x14ac:dyDescent="0.2">
      <c r="A9" t="s">
        <v>1</v>
      </c>
      <c r="B9">
        <v>2987</v>
      </c>
      <c r="C9">
        <v>2332</v>
      </c>
      <c r="D9">
        <v>2354</v>
      </c>
      <c r="E9">
        <v>2484</v>
      </c>
      <c r="F9">
        <v>10157</v>
      </c>
      <c r="G9">
        <v>2745</v>
      </c>
      <c r="H9">
        <v>2739</v>
      </c>
      <c r="I9">
        <v>2665</v>
      </c>
      <c r="J9">
        <v>2754</v>
      </c>
      <c r="K9">
        <v>10903</v>
      </c>
      <c r="L9">
        <v>3395</v>
      </c>
      <c r="M9">
        <v>3040</v>
      </c>
      <c r="N9">
        <v>2933</v>
      </c>
      <c r="O9">
        <v>3179</v>
      </c>
      <c r="P9">
        <v>12547</v>
      </c>
      <c r="Q9">
        <v>2816</v>
      </c>
      <c r="R9">
        <v>2786</v>
      </c>
      <c r="S9">
        <v>2752</v>
      </c>
      <c r="T9">
        <v>2702</v>
      </c>
      <c r="U9">
        <v>11056</v>
      </c>
      <c r="V9">
        <v>2666</v>
      </c>
      <c r="W9">
        <v>2797</v>
      </c>
      <c r="X9">
        <v>2832</v>
      </c>
      <c r="Y9">
        <v>2989</v>
      </c>
      <c r="Z9">
        <v>11284</v>
      </c>
      <c r="AA9">
        <v>2697</v>
      </c>
      <c r="AB9">
        <v>2737</v>
      </c>
      <c r="AC9">
        <v>2805</v>
      </c>
      <c r="AG9">
        <v>5319</v>
      </c>
      <c r="AH9">
        <v>7673</v>
      </c>
      <c r="AI9">
        <v>5484</v>
      </c>
      <c r="AJ9">
        <v>8149</v>
      </c>
      <c r="AK9">
        <v>6435</v>
      </c>
      <c r="AL9">
        <v>9368</v>
      </c>
      <c r="AM9">
        <v>5602</v>
      </c>
      <c r="AN9">
        <v>8354</v>
      </c>
      <c r="AO9">
        <v>5463</v>
      </c>
      <c r="AP9">
        <v>8295</v>
      </c>
      <c r="AQ9">
        <v>5434</v>
      </c>
      <c r="AR9">
        <v>8239</v>
      </c>
    </row>
    <row r="10" spans="1:44" x14ac:dyDescent="0.2">
      <c r="A10" t="s">
        <v>5</v>
      </c>
      <c r="B10">
        <v>1256</v>
      </c>
      <c r="C10">
        <v>1217</v>
      </c>
      <c r="D10">
        <v>1193</v>
      </c>
      <c r="E10">
        <v>1174</v>
      </c>
      <c r="F10">
        <v>4840</v>
      </c>
      <c r="G10">
        <v>1296</v>
      </c>
      <c r="H10">
        <v>1348</v>
      </c>
      <c r="I10">
        <v>1351</v>
      </c>
      <c r="J10">
        <v>1345</v>
      </c>
      <c r="K10">
        <v>5340</v>
      </c>
      <c r="L10">
        <v>1559</v>
      </c>
      <c r="M10">
        <v>1514</v>
      </c>
      <c r="N10">
        <v>1496</v>
      </c>
      <c r="O10">
        <v>1499</v>
      </c>
      <c r="P10">
        <v>6068</v>
      </c>
      <c r="Q10">
        <v>1710</v>
      </c>
      <c r="R10">
        <v>1697</v>
      </c>
      <c r="S10">
        <v>1698</v>
      </c>
      <c r="T10">
        <v>1724</v>
      </c>
      <c r="U10">
        <v>6829</v>
      </c>
      <c r="V10">
        <v>2020</v>
      </c>
      <c r="W10">
        <v>1981</v>
      </c>
      <c r="X10">
        <v>1960</v>
      </c>
      <c r="Y10">
        <v>1945</v>
      </c>
      <c r="Z10">
        <v>7906</v>
      </c>
      <c r="AA10">
        <v>2265</v>
      </c>
      <c r="AB10">
        <v>2252</v>
      </c>
      <c r="AC10">
        <v>2243</v>
      </c>
      <c r="AG10">
        <v>2473</v>
      </c>
      <c r="AH10">
        <v>3666</v>
      </c>
      <c r="AI10">
        <v>2644</v>
      </c>
      <c r="AJ10">
        <v>3995</v>
      </c>
      <c r="AK10">
        <v>3073</v>
      </c>
      <c r="AL10">
        <v>4569</v>
      </c>
      <c r="AM10">
        <v>3407</v>
      </c>
      <c r="AN10">
        <v>5105</v>
      </c>
      <c r="AO10">
        <v>4001</v>
      </c>
      <c r="AP10">
        <v>5961</v>
      </c>
      <c r="AQ10">
        <v>4517</v>
      </c>
      <c r="AR10">
        <v>6760</v>
      </c>
    </row>
    <row r="11" spans="1:44" x14ac:dyDescent="0.2">
      <c r="A11" t="s">
        <v>6</v>
      </c>
      <c r="B11">
        <v>1452</v>
      </c>
      <c r="C11">
        <v>1370</v>
      </c>
      <c r="D11">
        <v>1942</v>
      </c>
      <c r="E11">
        <v>1202</v>
      </c>
      <c r="F11">
        <v>5966</v>
      </c>
      <c r="G11">
        <v>-33737</v>
      </c>
      <c r="H11">
        <v>-498</v>
      </c>
      <c r="I11">
        <v>1126</v>
      </c>
      <c r="J11">
        <v>519</v>
      </c>
      <c r="K11">
        <v>-32590</v>
      </c>
      <c r="L11">
        <v>53</v>
      </c>
      <c r="M11">
        <v>-53</v>
      </c>
      <c r="O11">
        <v>-340</v>
      </c>
      <c r="P11">
        <v>-340</v>
      </c>
      <c r="Q11">
        <v>-349</v>
      </c>
      <c r="R11">
        <v>349</v>
      </c>
      <c r="S11">
        <v>182</v>
      </c>
      <c r="T11">
        <v>-182</v>
      </c>
      <c r="X11">
        <v>-737</v>
      </c>
      <c r="Y11">
        <v>737</v>
      </c>
      <c r="AA11">
        <v>682</v>
      </c>
      <c r="AB11">
        <v>406</v>
      </c>
      <c r="AC11">
        <v>1668</v>
      </c>
      <c r="AG11">
        <v>2822</v>
      </c>
      <c r="AH11">
        <v>4764</v>
      </c>
      <c r="AI11">
        <v>-34235</v>
      </c>
      <c r="AJ11">
        <v>-33109</v>
      </c>
      <c r="AN11">
        <v>182</v>
      </c>
      <c r="AP11">
        <v>-737</v>
      </c>
      <c r="AQ11">
        <v>1088</v>
      </c>
      <c r="AR11">
        <v>2756</v>
      </c>
    </row>
    <row r="12" spans="1:44" x14ac:dyDescent="0.2">
      <c r="A12" t="s">
        <v>7</v>
      </c>
      <c r="M12">
        <v>-124</v>
      </c>
      <c r="N12">
        <v>86</v>
      </c>
      <c r="O12">
        <v>38</v>
      </c>
      <c r="R12">
        <v>-651</v>
      </c>
      <c r="S12">
        <v>651</v>
      </c>
      <c r="T12">
        <v>-215</v>
      </c>
      <c r="U12">
        <v>-215</v>
      </c>
      <c r="V12">
        <v>-58</v>
      </c>
      <c r="W12">
        <v>-149</v>
      </c>
      <c r="X12">
        <v>207</v>
      </c>
      <c r="Y12">
        <v>-4774</v>
      </c>
      <c r="Z12">
        <v>-4774</v>
      </c>
      <c r="AK12">
        <v>-124</v>
      </c>
      <c r="AL12">
        <v>-38</v>
      </c>
      <c r="AM12">
        <v>-651</v>
      </c>
      <c r="AO12">
        <v>-207</v>
      </c>
    </row>
    <row r="13" spans="1:44" x14ac:dyDescent="0.2">
      <c r="A13" t="s">
        <v>8</v>
      </c>
      <c r="B13">
        <v>-274</v>
      </c>
      <c r="C13">
        <v>65</v>
      </c>
      <c r="D13">
        <v>67</v>
      </c>
      <c r="E13">
        <v>-24</v>
      </c>
      <c r="F13">
        <v>-166</v>
      </c>
      <c r="G13">
        <v>-11</v>
      </c>
      <c r="H13">
        <v>-140</v>
      </c>
      <c r="I13">
        <v>-259</v>
      </c>
      <c r="J13">
        <v>-34</v>
      </c>
      <c r="K13">
        <v>-444</v>
      </c>
      <c r="L13">
        <v>-54</v>
      </c>
      <c r="M13">
        <v>-161</v>
      </c>
      <c r="N13">
        <v>-125</v>
      </c>
      <c r="O13">
        <v>-312</v>
      </c>
      <c r="P13">
        <v>-652</v>
      </c>
      <c r="Q13">
        <v>-142</v>
      </c>
      <c r="R13">
        <v>-117</v>
      </c>
      <c r="S13">
        <v>165</v>
      </c>
      <c r="T13">
        <v>-3</v>
      </c>
      <c r="U13">
        <v>-97</v>
      </c>
      <c r="V13">
        <v>25</v>
      </c>
      <c r="W13">
        <v>-499</v>
      </c>
      <c r="X13">
        <v>-215</v>
      </c>
      <c r="Y13">
        <v>542</v>
      </c>
      <c r="Z13">
        <v>-147</v>
      </c>
      <c r="AA13">
        <v>167</v>
      </c>
      <c r="AB13">
        <v>-187</v>
      </c>
      <c r="AC13">
        <v>-41</v>
      </c>
      <c r="AG13">
        <v>-209</v>
      </c>
      <c r="AH13">
        <v>-142</v>
      </c>
      <c r="AI13">
        <v>-151</v>
      </c>
      <c r="AJ13">
        <v>-410</v>
      </c>
      <c r="AK13">
        <v>-215</v>
      </c>
      <c r="AL13">
        <v>-340</v>
      </c>
      <c r="AM13">
        <v>-259</v>
      </c>
      <c r="AN13">
        <v>-94</v>
      </c>
      <c r="AO13">
        <v>-474</v>
      </c>
      <c r="AP13">
        <v>-689</v>
      </c>
      <c r="AQ13">
        <v>-20</v>
      </c>
      <c r="AR13">
        <v>-61</v>
      </c>
    </row>
    <row r="14" spans="1:44" x14ac:dyDescent="0.2">
      <c r="A14" t="s">
        <v>9</v>
      </c>
      <c r="B14">
        <v>1697</v>
      </c>
      <c r="C14">
        <v>2486</v>
      </c>
      <c r="D14">
        <v>-802</v>
      </c>
      <c r="E14">
        <v>-5474</v>
      </c>
      <c r="F14">
        <v>-2093</v>
      </c>
      <c r="G14">
        <v>-5570</v>
      </c>
      <c r="H14">
        <v>9093</v>
      </c>
      <c r="I14">
        <v>233</v>
      </c>
      <c r="J14">
        <v>-9078</v>
      </c>
      <c r="K14">
        <v>-5322</v>
      </c>
      <c r="L14">
        <v>5130</v>
      </c>
      <c r="M14">
        <v>2964</v>
      </c>
      <c r="N14">
        <v>919</v>
      </c>
      <c r="O14">
        <v>-8768</v>
      </c>
      <c r="P14">
        <v>245</v>
      </c>
      <c r="Q14">
        <v>2015</v>
      </c>
      <c r="R14">
        <v>5269</v>
      </c>
      <c r="S14">
        <v>-2135</v>
      </c>
      <c r="T14">
        <v>1768</v>
      </c>
      <c r="U14">
        <v>6917</v>
      </c>
      <c r="V14">
        <v>-10945</v>
      </c>
      <c r="W14">
        <v>8598</v>
      </c>
      <c r="X14">
        <v>1031</v>
      </c>
      <c r="Y14">
        <v>-8809</v>
      </c>
      <c r="Z14">
        <v>-10125</v>
      </c>
      <c r="AA14">
        <v>-3934</v>
      </c>
      <c r="AB14">
        <v>9476</v>
      </c>
      <c r="AC14">
        <v>-981</v>
      </c>
      <c r="AG14">
        <v>4183</v>
      </c>
      <c r="AH14">
        <v>3381</v>
      </c>
      <c r="AI14">
        <v>3523</v>
      </c>
      <c r="AJ14">
        <v>3756</v>
      </c>
      <c r="AK14">
        <v>8094</v>
      </c>
      <c r="AL14">
        <v>9013</v>
      </c>
      <c r="AM14">
        <v>7284</v>
      </c>
      <c r="AN14">
        <v>5149</v>
      </c>
      <c r="AO14">
        <v>-2347</v>
      </c>
      <c r="AP14">
        <v>-1316</v>
      </c>
      <c r="AQ14">
        <v>5542</v>
      </c>
      <c r="AR14">
        <v>4561</v>
      </c>
    </row>
    <row r="15" spans="1:44" x14ac:dyDescent="0.2">
      <c r="A15" t="s">
        <v>10</v>
      </c>
      <c r="B15">
        <v>-580</v>
      </c>
      <c r="C15">
        <v>-198</v>
      </c>
      <c r="D15">
        <v>-236</v>
      </c>
      <c r="E15">
        <v>-1709</v>
      </c>
      <c r="F15">
        <v>-2723</v>
      </c>
      <c r="G15">
        <v>434</v>
      </c>
      <c r="H15">
        <v>-3241</v>
      </c>
      <c r="I15">
        <v>1693</v>
      </c>
      <c r="J15">
        <v>1942</v>
      </c>
      <c r="K15">
        <v>828</v>
      </c>
      <c r="L15">
        <v>-1076</v>
      </c>
      <c r="M15">
        <v>70</v>
      </c>
      <c r="N15">
        <v>1502</v>
      </c>
      <c r="O15">
        <v>-785</v>
      </c>
      <c r="P15">
        <v>-289</v>
      </c>
      <c r="Q15">
        <v>-28</v>
      </c>
      <c r="R15">
        <v>727</v>
      </c>
      <c r="S15">
        <v>-689</v>
      </c>
      <c r="T15">
        <v>-137</v>
      </c>
      <c r="U15">
        <v>-127</v>
      </c>
      <c r="V15">
        <v>-950</v>
      </c>
      <c r="W15">
        <v>-276</v>
      </c>
      <c r="X15">
        <v>13</v>
      </c>
      <c r="Y15">
        <v>-1429</v>
      </c>
      <c r="Z15">
        <v>-2642</v>
      </c>
      <c r="AA15">
        <v>681</v>
      </c>
      <c r="AB15">
        <v>384</v>
      </c>
      <c r="AC15">
        <v>-16</v>
      </c>
      <c r="AG15">
        <v>-778</v>
      </c>
      <c r="AH15">
        <v>-1014</v>
      </c>
      <c r="AI15">
        <v>-2807</v>
      </c>
      <c r="AJ15">
        <v>-1114</v>
      </c>
      <c r="AK15">
        <v>-1006</v>
      </c>
      <c r="AL15">
        <v>496</v>
      </c>
      <c r="AM15">
        <v>699</v>
      </c>
      <c r="AN15">
        <v>10</v>
      </c>
      <c r="AO15">
        <v>-1226</v>
      </c>
      <c r="AP15">
        <v>-1213</v>
      </c>
      <c r="AQ15">
        <v>1065</v>
      </c>
      <c r="AR15">
        <v>1049</v>
      </c>
    </row>
    <row r="16" spans="1:44" x14ac:dyDescent="0.2">
      <c r="A16" t="s">
        <v>11</v>
      </c>
      <c r="B16">
        <v>-375</v>
      </c>
      <c r="C16">
        <v>4887</v>
      </c>
      <c r="D16">
        <v>-1200</v>
      </c>
      <c r="E16">
        <v>-7566</v>
      </c>
      <c r="F16">
        <v>-4254</v>
      </c>
      <c r="G16">
        <v>-9660</v>
      </c>
      <c r="H16">
        <v>19375</v>
      </c>
      <c r="I16">
        <v>-4179</v>
      </c>
      <c r="J16">
        <v>-13546</v>
      </c>
      <c r="K16">
        <v>-8010</v>
      </c>
      <c r="L16">
        <v>6905</v>
      </c>
      <c r="M16">
        <v>7711</v>
      </c>
      <c r="N16">
        <v>-1133</v>
      </c>
      <c r="O16">
        <v>-10552</v>
      </c>
      <c r="P16">
        <v>2931</v>
      </c>
      <c r="Q16">
        <v>3902</v>
      </c>
      <c r="R16">
        <v>4021</v>
      </c>
      <c r="S16">
        <v>762</v>
      </c>
      <c r="T16">
        <v>-7132</v>
      </c>
      <c r="U16">
        <v>1553</v>
      </c>
      <c r="V16">
        <v>-10194</v>
      </c>
      <c r="W16">
        <v>16986</v>
      </c>
      <c r="X16">
        <v>-1900</v>
      </c>
      <c r="Y16">
        <v>-8795</v>
      </c>
      <c r="Z16">
        <v>-3903</v>
      </c>
      <c r="AA16">
        <v>-9812</v>
      </c>
      <c r="AB16">
        <v>10455</v>
      </c>
      <c r="AC16">
        <v>4146</v>
      </c>
      <c r="AG16">
        <v>4512</v>
      </c>
      <c r="AH16">
        <v>3312</v>
      </c>
      <c r="AI16">
        <v>9715</v>
      </c>
      <c r="AJ16">
        <v>5536</v>
      </c>
      <c r="AK16">
        <v>14616</v>
      </c>
      <c r="AL16">
        <v>13483</v>
      </c>
      <c r="AM16">
        <v>7923</v>
      </c>
      <c r="AN16">
        <v>8685</v>
      </c>
      <c r="AO16">
        <v>6792</v>
      </c>
      <c r="AP16">
        <v>4892</v>
      </c>
      <c r="AQ16">
        <v>643</v>
      </c>
      <c r="AR16">
        <v>4789</v>
      </c>
    </row>
    <row r="17" spans="1:44" x14ac:dyDescent="0.2">
      <c r="A17" t="s">
        <v>12</v>
      </c>
      <c r="B17">
        <v>-1446</v>
      </c>
      <c r="C17">
        <v>550</v>
      </c>
      <c r="D17">
        <v>-2333</v>
      </c>
      <c r="E17">
        <v>-2089</v>
      </c>
      <c r="F17">
        <v>-5318</v>
      </c>
      <c r="G17">
        <v>-197</v>
      </c>
      <c r="H17">
        <v>-856</v>
      </c>
      <c r="I17">
        <v>988</v>
      </c>
      <c r="J17">
        <v>-358</v>
      </c>
      <c r="K17">
        <v>-423</v>
      </c>
      <c r="L17">
        <v>-886</v>
      </c>
      <c r="M17">
        <v>169</v>
      </c>
      <c r="N17">
        <v>1410</v>
      </c>
      <c r="O17">
        <v>180</v>
      </c>
      <c r="P17">
        <v>873</v>
      </c>
      <c r="Q17">
        <v>-7054</v>
      </c>
      <c r="R17">
        <v>-1812</v>
      </c>
      <c r="S17">
        <v>2106</v>
      </c>
      <c r="T17">
        <v>-2828</v>
      </c>
      <c r="U17">
        <v>-9588</v>
      </c>
      <c r="V17">
        <v>-3526</v>
      </c>
      <c r="W17">
        <v>-807</v>
      </c>
      <c r="X17">
        <v>-1566</v>
      </c>
      <c r="Y17">
        <v>-2143</v>
      </c>
      <c r="Z17">
        <v>-8042</v>
      </c>
      <c r="AA17">
        <v>-4921</v>
      </c>
      <c r="AB17">
        <v>1379</v>
      </c>
      <c r="AC17">
        <v>253</v>
      </c>
      <c r="AG17">
        <v>-896</v>
      </c>
      <c r="AH17">
        <v>-3229</v>
      </c>
      <c r="AI17">
        <v>-1053</v>
      </c>
      <c r="AJ17">
        <v>-65</v>
      </c>
      <c r="AK17">
        <v>-717</v>
      </c>
      <c r="AL17">
        <v>693</v>
      </c>
      <c r="AM17">
        <v>-8866</v>
      </c>
      <c r="AN17">
        <v>-6760</v>
      </c>
      <c r="AO17">
        <v>-4333</v>
      </c>
      <c r="AP17">
        <v>-5899</v>
      </c>
      <c r="AQ17">
        <v>-3542</v>
      </c>
      <c r="AR17">
        <v>-3289</v>
      </c>
    </row>
    <row r="18" spans="1:44" x14ac:dyDescent="0.2">
      <c r="A18" t="s">
        <v>13</v>
      </c>
      <c r="B18">
        <v>2460</v>
      </c>
      <c r="C18">
        <v>-9322</v>
      </c>
      <c r="D18">
        <v>1650</v>
      </c>
      <c r="E18">
        <v>14830</v>
      </c>
      <c r="F18">
        <v>9618</v>
      </c>
      <c r="G18">
        <v>14588</v>
      </c>
      <c r="H18">
        <v>-27808</v>
      </c>
      <c r="I18">
        <v>2081</v>
      </c>
      <c r="J18">
        <v>20314</v>
      </c>
      <c r="K18">
        <v>9175</v>
      </c>
      <c r="L18">
        <v>-8501</v>
      </c>
      <c r="M18">
        <v>-11523</v>
      </c>
      <c r="N18">
        <v>220</v>
      </c>
      <c r="O18">
        <v>17881</v>
      </c>
      <c r="P18">
        <v>-1923</v>
      </c>
      <c r="Q18">
        <v>-1089</v>
      </c>
      <c r="R18">
        <v>-12431</v>
      </c>
      <c r="S18">
        <v>2733</v>
      </c>
      <c r="T18">
        <v>6725</v>
      </c>
      <c r="U18">
        <v>-4062</v>
      </c>
      <c r="V18">
        <v>21670</v>
      </c>
      <c r="W18">
        <v>-23667</v>
      </c>
      <c r="X18">
        <v>211</v>
      </c>
      <c r="Y18">
        <v>14112</v>
      </c>
      <c r="Z18">
        <v>12326</v>
      </c>
      <c r="AA18">
        <v>19813</v>
      </c>
      <c r="AB18">
        <v>-21563</v>
      </c>
      <c r="AC18">
        <v>-4358</v>
      </c>
      <c r="AG18">
        <v>-6862</v>
      </c>
      <c r="AH18">
        <v>-5212</v>
      </c>
      <c r="AI18">
        <v>-13220</v>
      </c>
      <c r="AJ18">
        <v>-11139</v>
      </c>
      <c r="AK18">
        <v>-20024</v>
      </c>
      <c r="AL18">
        <v>-19804</v>
      </c>
      <c r="AM18">
        <v>-13520</v>
      </c>
      <c r="AN18">
        <v>-10787</v>
      </c>
      <c r="AO18">
        <v>-1997</v>
      </c>
      <c r="AP18">
        <v>-1786</v>
      </c>
      <c r="AQ18">
        <v>-1750</v>
      </c>
      <c r="AR18">
        <v>-6108</v>
      </c>
    </row>
    <row r="19" spans="1:44" x14ac:dyDescent="0.2">
      <c r="A19" t="s">
        <v>14</v>
      </c>
      <c r="B19">
        <v>42</v>
      </c>
      <c r="C19">
        <v>-263</v>
      </c>
      <c r="D19">
        <v>-197</v>
      </c>
      <c r="E19">
        <v>-208</v>
      </c>
      <c r="F19">
        <v>-626</v>
      </c>
      <c r="G19">
        <v>791</v>
      </c>
      <c r="H19">
        <v>-313</v>
      </c>
      <c r="I19">
        <v>-581</v>
      </c>
      <c r="J19">
        <v>59</v>
      </c>
      <c r="K19">
        <v>-44</v>
      </c>
      <c r="L19">
        <v>-370</v>
      </c>
      <c r="M19">
        <v>-170</v>
      </c>
      <c r="N19">
        <v>-236</v>
      </c>
      <c r="O19">
        <v>151</v>
      </c>
      <c r="P19">
        <v>-625</v>
      </c>
      <c r="Q19">
        <v>985</v>
      </c>
      <c r="R19">
        <v>238</v>
      </c>
      <c r="S19">
        <v>426</v>
      </c>
      <c r="T19">
        <v>432</v>
      </c>
      <c r="U19">
        <v>2081</v>
      </c>
      <c r="V19">
        <v>1341</v>
      </c>
      <c r="W19">
        <v>301</v>
      </c>
      <c r="X19">
        <v>96</v>
      </c>
      <c r="Y19">
        <v>-62</v>
      </c>
      <c r="Z19">
        <v>1676</v>
      </c>
      <c r="AA19">
        <v>462</v>
      </c>
      <c r="AB19">
        <v>165</v>
      </c>
      <c r="AC19">
        <v>-367</v>
      </c>
      <c r="AG19">
        <v>-221</v>
      </c>
      <c r="AH19">
        <v>-418</v>
      </c>
      <c r="AI19">
        <v>478</v>
      </c>
      <c r="AJ19">
        <v>-103</v>
      </c>
      <c r="AK19">
        <v>-540</v>
      </c>
      <c r="AL19">
        <v>-776</v>
      </c>
      <c r="AM19">
        <v>1223</v>
      </c>
      <c r="AN19">
        <v>1649</v>
      </c>
      <c r="AO19">
        <v>1642</v>
      </c>
      <c r="AP19">
        <v>1738</v>
      </c>
      <c r="AQ19">
        <v>627</v>
      </c>
      <c r="AR19">
        <v>260</v>
      </c>
    </row>
    <row r="20" spans="1:44" x14ac:dyDescent="0.2">
      <c r="A20" t="s">
        <v>15</v>
      </c>
      <c r="B20">
        <v>1946</v>
      </c>
      <c r="C20">
        <v>-1630</v>
      </c>
      <c r="D20">
        <v>-2792</v>
      </c>
      <c r="E20">
        <v>2322</v>
      </c>
      <c r="F20">
        <v>-154</v>
      </c>
      <c r="G20">
        <v>37549</v>
      </c>
      <c r="H20">
        <v>1609</v>
      </c>
      <c r="I20">
        <v>-2149</v>
      </c>
      <c r="J20">
        <v>1481</v>
      </c>
      <c r="K20">
        <v>38490</v>
      </c>
      <c r="L20">
        <v>570</v>
      </c>
      <c r="M20">
        <v>-3843</v>
      </c>
      <c r="N20">
        <v>-5480</v>
      </c>
      <c r="O20">
        <v>4053</v>
      </c>
      <c r="P20">
        <v>-4700</v>
      </c>
      <c r="Q20">
        <v>5514</v>
      </c>
      <c r="R20">
        <v>1986</v>
      </c>
      <c r="S20">
        <v>-3633</v>
      </c>
      <c r="T20">
        <v>5049</v>
      </c>
      <c r="U20">
        <v>8916</v>
      </c>
      <c r="V20">
        <v>7959</v>
      </c>
      <c r="W20">
        <v>-4914</v>
      </c>
      <c r="X20">
        <v>-2582</v>
      </c>
      <c r="Y20">
        <v>5336</v>
      </c>
      <c r="Z20">
        <v>5799</v>
      </c>
      <c r="AA20">
        <v>4236</v>
      </c>
      <c r="AB20">
        <v>-2348</v>
      </c>
      <c r="AC20">
        <v>-1902</v>
      </c>
      <c r="AG20">
        <v>316</v>
      </c>
      <c r="AH20">
        <v>-2476</v>
      </c>
      <c r="AI20">
        <v>39158</v>
      </c>
      <c r="AJ20">
        <v>37009</v>
      </c>
      <c r="AK20">
        <v>-3273</v>
      </c>
      <c r="AL20">
        <v>-8753</v>
      </c>
      <c r="AM20">
        <v>7500</v>
      </c>
      <c r="AN20">
        <v>3867</v>
      </c>
      <c r="AO20">
        <v>3045</v>
      </c>
      <c r="AP20">
        <v>463</v>
      </c>
      <c r="AQ20">
        <v>1888</v>
      </c>
      <c r="AR20">
        <v>-14</v>
      </c>
    </row>
    <row r="21" spans="1:44" x14ac:dyDescent="0.2">
      <c r="A21" t="s">
        <v>16</v>
      </c>
      <c r="B21">
        <f t="shared" ref="B21:AC21" si="0">SUM(B6:B20)</f>
        <v>27056</v>
      </c>
      <c r="C21">
        <f t="shared" si="0"/>
        <v>12523</v>
      </c>
      <c r="D21">
        <f t="shared" si="0"/>
        <v>8363</v>
      </c>
      <c r="E21">
        <f t="shared" si="0"/>
        <v>15656</v>
      </c>
      <c r="F21">
        <f t="shared" si="0"/>
        <v>63598</v>
      </c>
      <c r="G21">
        <f t="shared" si="0"/>
        <v>28293</v>
      </c>
      <c r="H21">
        <f t="shared" si="0"/>
        <v>15130</v>
      </c>
      <c r="I21">
        <f t="shared" si="0"/>
        <v>14488</v>
      </c>
      <c r="J21">
        <f t="shared" si="0"/>
        <v>19523</v>
      </c>
      <c r="K21">
        <f t="shared" si="0"/>
        <v>77434</v>
      </c>
      <c r="L21">
        <f t="shared" si="0"/>
        <v>26690</v>
      </c>
      <c r="M21">
        <f t="shared" si="0"/>
        <v>11155</v>
      </c>
      <c r="N21">
        <f t="shared" si="0"/>
        <v>11636</v>
      </c>
      <c r="O21">
        <f t="shared" si="0"/>
        <v>19910</v>
      </c>
      <c r="P21">
        <f t="shared" si="0"/>
        <v>69391</v>
      </c>
      <c r="Q21">
        <f t="shared" si="0"/>
        <v>30516</v>
      </c>
      <c r="R21">
        <f t="shared" si="0"/>
        <v>13311</v>
      </c>
      <c r="S21">
        <f t="shared" si="0"/>
        <v>16271</v>
      </c>
      <c r="T21">
        <f t="shared" si="0"/>
        <v>20576</v>
      </c>
      <c r="U21">
        <f t="shared" si="0"/>
        <v>80674</v>
      </c>
      <c r="V21">
        <f t="shared" si="0"/>
        <v>38763</v>
      </c>
      <c r="W21">
        <f t="shared" si="0"/>
        <v>23981</v>
      </c>
      <c r="X21">
        <f t="shared" si="0"/>
        <v>21094</v>
      </c>
      <c r="Y21">
        <f t="shared" si="0"/>
        <v>20200</v>
      </c>
      <c r="Z21">
        <f t="shared" si="0"/>
        <v>104038</v>
      </c>
      <c r="AA21">
        <f t="shared" si="0"/>
        <v>46966</v>
      </c>
      <c r="AB21">
        <f t="shared" si="0"/>
        <v>28166</v>
      </c>
      <c r="AC21">
        <f t="shared" si="0"/>
        <v>22892</v>
      </c>
      <c r="AG21">
        <f t="shared" ref="AG21:AR21" si="1">SUM(AG6:AG20)</f>
        <v>39579</v>
      </c>
      <c r="AH21">
        <f t="shared" si="1"/>
        <v>47942</v>
      </c>
      <c r="AI21">
        <f t="shared" si="1"/>
        <v>43423</v>
      </c>
      <c r="AJ21">
        <f t="shared" si="1"/>
        <v>57911</v>
      </c>
      <c r="AK21">
        <f t="shared" si="1"/>
        <v>37845</v>
      </c>
      <c r="AL21">
        <f t="shared" si="1"/>
        <v>49481</v>
      </c>
      <c r="AM21">
        <f t="shared" si="1"/>
        <v>43827</v>
      </c>
      <c r="AN21">
        <f t="shared" si="1"/>
        <v>60098</v>
      </c>
      <c r="AO21">
        <f t="shared" si="1"/>
        <v>62744</v>
      </c>
      <c r="AP21">
        <f t="shared" si="1"/>
        <v>83838</v>
      </c>
      <c r="AQ21">
        <f t="shared" si="1"/>
        <v>75132</v>
      </c>
      <c r="AR21">
        <f t="shared" si="1"/>
        <v>98024</v>
      </c>
    </row>
    <row r="23" spans="1:44" x14ac:dyDescent="0.2">
      <c r="A23" t="s">
        <v>18</v>
      </c>
      <c r="AR23" t="s">
        <v>186</v>
      </c>
    </row>
    <row r="24" spans="1:44" x14ac:dyDescent="0.2">
      <c r="A24" t="s">
        <v>19</v>
      </c>
      <c r="B24">
        <v>-54272</v>
      </c>
      <c r="C24">
        <v>-45549</v>
      </c>
      <c r="D24">
        <v>-23960</v>
      </c>
      <c r="E24">
        <v>-35705</v>
      </c>
      <c r="F24">
        <v>-159486</v>
      </c>
      <c r="G24">
        <v>-41272</v>
      </c>
      <c r="H24">
        <v>-7177</v>
      </c>
      <c r="I24">
        <v>-7684</v>
      </c>
      <c r="J24">
        <v>-15223</v>
      </c>
      <c r="K24">
        <v>-71356</v>
      </c>
      <c r="L24">
        <v>-7077</v>
      </c>
      <c r="M24">
        <v>-6777</v>
      </c>
      <c r="N24">
        <v>-8048</v>
      </c>
      <c r="O24">
        <v>-17728</v>
      </c>
      <c r="P24">
        <v>-39630</v>
      </c>
      <c r="Q24">
        <v>-37416</v>
      </c>
      <c r="R24">
        <v>-29073</v>
      </c>
      <c r="S24">
        <v>-30117</v>
      </c>
      <c r="T24">
        <v>-18332</v>
      </c>
      <c r="U24">
        <v>-114938</v>
      </c>
      <c r="V24">
        <v>-39800</v>
      </c>
      <c r="W24">
        <v>-34624</v>
      </c>
      <c r="X24">
        <v>-19628</v>
      </c>
      <c r="Y24">
        <v>-15506</v>
      </c>
      <c r="Z24">
        <v>-109558</v>
      </c>
      <c r="AA24">
        <v>-34913</v>
      </c>
      <c r="AB24">
        <v>-27074</v>
      </c>
      <c r="AC24">
        <v>-8191</v>
      </c>
      <c r="AG24">
        <v>-99821</v>
      </c>
      <c r="AH24">
        <v>-123781</v>
      </c>
      <c r="AI24">
        <v>-48449</v>
      </c>
      <c r="AJ24">
        <v>-56133</v>
      </c>
      <c r="AK24">
        <v>-13854</v>
      </c>
      <c r="AL24">
        <v>-21902</v>
      </c>
      <c r="AM24">
        <v>-66489</v>
      </c>
      <c r="AN24">
        <v>-96606</v>
      </c>
      <c r="AO24">
        <v>-74424</v>
      </c>
      <c r="AP24">
        <v>-94052</v>
      </c>
      <c r="AQ24">
        <v>-61987</v>
      </c>
      <c r="AR24">
        <v>-70178</v>
      </c>
    </row>
    <row r="25" spans="1:44" x14ac:dyDescent="0.2">
      <c r="A25" t="s">
        <v>20</v>
      </c>
      <c r="B25">
        <v>6525</v>
      </c>
      <c r="C25">
        <v>5904</v>
      </c>
      <c r="D25">
        <v>6918</v>
      </c>
      <c r="E25">
        <v>12428</v>
      </c>
      <c r="F25">
        <v>31775</v>
      </c>
      <c r="G25">
        <v>14048</v>
      </c>
      <c r="H25">
        <v>17836</v>
      </c>
      <c r="I25">
        <v>14406</v>
      </c>
      <c r="J25">
        <v>9591</v>
      </c>
      <c r="K25">
        <v>55881</v>
      </c>
      <c r="L25">
        <v>7203</v>
      </c>
      <c r="M25">
        <v>9677</v>
      </c>
      <c r="N25">
        <v>9903</v>
      </c>
      <c r="O25">
        <v>13319</v>
      </c>
      <c r="P25">
        <v>40102</v>
      </c>
      <c r="Q25">
        <v>19740</v>
      </c>
      <c r="R25">
        <v>19998</v>
      </c>
      <c r="S25">
        <v>15127</v>
      </c>
      <c r="T25">
        <v>15053</v>
      </c>
      <c r="U25">
        <v>69918</v>
      </c>
      <c r="V25">
        <v>25177</v>
      </c>
      <c r="W25">
        <v>14428</v>
      </c>
      <c r="X25">
        <v>10275</v>
      </c>
      <c r="Y25">
        <v>9143</v>
      </c>
      <c r="Z25">
        <v>59023</v>
      </c>
      <c r="AA25">
        <v>11309</v>
      </c>
      <c r="AB25">
        <v>6691</v>
      </c>
      <c r="AC25">
        <v>6203</v>
      </c>
      <c r="AG25">
        <v>12429</v>
      </c>
      <c r="AH25">
        <v>19347</v>
      </c>
      <c r="AI25">
        <v>31884</v>
      </c>
      <c r="AJ25">
        <v>46290</v>
      </c>
      <c r="AK25">
        <v>16880</v>
      </c>
      <c r="AL25">
        <v>26783</v>
      </c>
      <c r="AM25">
        <v>39738</v>
      </c>
      <c r="AN25">
        <v>54865</v>
      </c>
      <c r="AO25">
        <v>39605</v>
      </c>
      <c r="AP25">
        <v>49880</v>
      </c>
      <c r="AQ25">
        <v>18000</v>
      </c>
      <c r="AR25">
        <v>24203</v>
      </c>
    </row>
    <row r="26" spans="1:44" x14ac:dyDescent="0.2">
      <c r="A26" t="s">
        <v>21</v>
      </c>
      <c r="B26">
        <v>32166</v>
      </c>
      <c r="C26">
        <v>28288</v>
      </c>
      <c r="D26">
        <v>16293</v>
      </c>
      <c r="E26">
        <v>17817</v>
      </c>
      <c r="F26">
        <v>94564</v>
      </c>
      <c r="G26">
        <v>16801</v>
      </c>
      <c r="H26">
        <v>22141</v>
      </c>
      <c r="I26">
        <v>2672</v>
      </c>
      <c r="J26">
        <v>6224</v>
      </c>
      <c r="K26">
        <v>47838</v>
      </c>
      <c r="L26">
        <v>9723</v>
      </c>
      <c r="M26">
        <v>12912</v>
      </c>
      <c r="N26">
        <v>26881</v>
      </c>
      <c r="O26">
        <v>7472</v>
      </c>
      <c r="P26">
        <v>56988</v>
      </c>
      <c r="Q26">
        <v>7280</v>
      </c>
      <c r="R26">
        <v>20482</v>
      </c>
      <c r="S26">
        <v>11998</v>
      </c>
      <c r="T26">
        <v>10713</v>
      </c>
      <c r="U26">
        <v>50473</v>
      </c>
      <c r="V26">
        <v>9344</v>
      </c>
      <c r="W26">
        <v>12301</v>
      </c>
      <c r="X26">
        <v>15100</v>
      </c>
      <c r="Y26">
        <v>10715</v>
      </c>
      <c r="Z26">
        <v>47460</v>
      </c>
      <c r="AA26">
        <v>10675</v>
      </c>
      <c r="AB26">
        <v>13993</v>
      </c>
      <c r="AC26">
        <v>8941</v>
      </c>
      <c r="AG26">
        <v>60454</v>
      </c>
      <c r="AH26">
        <v>76747</v>
      </c>
      <c r="AI26">
        <v>38942</v>
      </c>
      <c r="AJ26">
        <v>41614</v>
      </c>
      <c r="AK26">
        <v>22635</v>
      </c>
      <c r="AL26">
        <v>49516</v>
      </c>
      <c r="AM26">
        <v>27762</v>
      </c>
      <c r="AN26">
        <v>39760</v>
      </c>
      <c r="AO26">
        <v>21645</v>
      </c>
      <c r="AP26">
        <v>36745</v>
      </c>
      <c r="AQ26">
        <v>24668</v>
      </c>
      <c r="AR26">
        <v>33609</v>
      </c>
    </row>
    <row r="27" spans="1:44" x14ac:dyDescent="0.2">
      <c r="A27" t="s">
        <v>22</v>
      </c>
      <c r="B27">
        <v>-17</v>
      </c>
      <c r="C27">
        <v>-50</v>
      </c>
      <c r="D27">
        <v>-181</v>
      </c>
      <c r="E27">
        <v>-81</v>
      </c>
      <c r="F27">
        <v>-329</v>
      </c>
      <c r="G27">
        <v>-173</v>
      </c>
      <c r="H27">
        <v>173</v>
      </c>
      <c r="AG27">
        <v>-67</v>
      </c>
      <c r="AH27">
        <v>-248</v>
      </c>
    </row>
    <row r="28" spans="1:44" x14ac:dyDescent="0.2">
      <c r="A28" t="s">
        <v>17</v>
      </c>
      <c r="B28">
        <v>-3334</v>
      </c>
      <c r="C28">
        <v>-2975</v>
      </c>
      <c r="D28">
        <v>-2277</v>
      </c>
      <c r="E28">
        <v>-3865</v>
      </c>
      <c r="F28">
        <v>-12451</v>
      </c>
      <c r="G28">
        <v>-2810</v>
      </c>
      <c r="H28">
        <v>-4195</v>
      </c>
      <c r="I28">
        <v>-3267</v>
      </c>
      <c r="J28">
        <v>-3041</v>
      </c>
      <c r="K28">
        <v>-13313</v>
      </c>
      <c r="L28">
        <v>-3355</v>
      </c>
      <c r="M28">
        <v>-2363</v>
      </c>
      <c r="N28">
        <v>-2000</v>
      </c>
      <c r="O28">
        <v>-2777</v>
      </c>
      <c r="P28">
        <v>-10495</v>
      </c>
      <c r="Q28">
        <v>-2107</v>
      </c>
      <c r="R28">
        <v>-1853</v>
      </c>
      <c r="S28">
        <v>-1565</v>
      </c>
      <c r="T28">
        <v>-1784</v>
      </c>
      <c r="U28">
        <v>-7309</v>
      </c>
      <c r="V28">
        <v>-3500</v>
      </c>
      <c r="W28">
        <v>-2269</v>
      </c>
      <c r="X28">
        <v>-2093</v>
      </c>
      <c r="Y28">
        <v>-3223</v>
      </c>
      <c r="Z28">
        <v>-11085</v>
      </c>
      <c r="AA28">
        <v>-2803</v>
      </c>
      <c r="AB28">
        <v>-2514</v>
      </c>
      <c r="AC28">
        <v>-2102</v>
      </c>
      <c r="AG28">
        <v>-6309</v>
      </c>
      <c r="AH28">
        <v>-8586</v>
      </c>
      <c r="AI28">
        <v>-7005</v>
      </c>
      <c r="AJ28">
        <v>-10272</v>
      </c>
      <c r="AK28">
        <v>-5718</v>
      </c>
      <c r="AL28">
        <v>-7718</v>
      </c>
      <c r="AM28">
        <v>-3960</v>
      </c>
      <c r="AN28">
        <v>-5525</v>
      </c>
      <c r="AO28">
        <v>-5769</v>
      </c>
      <c r="AP28">
        <v>-7862</v>
      </c>
      <c r="AQ28">
        <v>-5317</v>
      </c>
      <c r="AR28">
        <v>-7419</v>
      </c>
    </row>
    <row r="29" spans="1:44" x14ac:dyDescent="0.2">
      <c r="A29" t="s">
        <v>22</v>
      </c>
      <c r="H29">
        <v>-305</v>
      </c>
      <c r="I29">
        <v>-126</v>
      </c>
      <c r="J29">
        <v>-290</v>
      </c>
      <c r="K29">
        <v>-721</v>
      </c>
      <c r="L29">
        <v>-167</v>
      </c>
      <c r="M29">
        <v>-124</v>
      </c>
      <c r="N29">
        <v>-320</v>
      </c>
      <c r="O29">
        <v>-13</v>
      </c>
      <c r="P29">
        <v>-624</v>
      </c>
      <c r="Q29">
        <v>-958</v>
      </c>
      <c r="R29">
        <v>-176</v>
      </c>
      <c r="S29">
        <v>-339</v>
      </c>
      <c r="T29">
        <v>-51</v>
      </c>
      <c r="U29">
        <v>-1524</v>
      </c>
      <c r="V29">
        <v>-9</v>
      </c>
      <c r="X29">
        <v>-4</v>
      </c>
      <c r="Y29">
        <v>-20</v>
      </c>
      <c r="Z29">
        <v>-33</v>
      </c>
      <c r="AB29">
        <v>-167</v>
      </c>
      <c r="AC29">
        <v>-2</v>
      </c>
      <c r="AI29">
        <v>-305</v>
      </c>
      <c r="AJ29">
        <v>-431</v>
      </c>
      <c r="AK29">
        <v>-291</v>
      </c>
      <c r="AL29">
        <v>-611</v>
      </c>
      <c r="AM29">
        <v>-1134</v>
      </c>
      <c r="AN29">
        <v>-1473</v>
      </c>
      <c r="AO29">
        <v>-9</v>
      </c>
      <c r="AP29">
        <v>-13</v>
      </c>
      <c r="AQ29">
        <v>-167</v>
      </c>
      <c r="AR29">
        <v>-169</v>
      </c>
    </row>
    <row r="30" spans="1:44" x14ac:dyDescent="0.2">
      <c r="A30" t="s">
        <v>23</v>
      </c>
      <c r="I30">
        <v>-1788</v>
      </c>
      <c r="J30">
        <v>-83</v>
      </c>
      <c r="K30">
        <v>-1871</v>
      </c>
      <c r="L30">
        <v>-427</v>
      </c>
      <c r="M30">
        <v>-63</v>
      </c>
      <c r="N30">
        <v>-142</v>
      </c>
      <c r="O30">
        <v>-369</v>
      </c>
      <c r="P30">
        <v>-1001</v>
      </c>
      <c r="Q30">
        <v>-77</v>
      </c>
      <c r="R30">
        <v>-69</v>
      </c>
      <c r="S30">
        <v>-64</v>
      </c>
      <c r="U30">
        <v>-210</v>
      </c>
      <c r="Y30">
        <v>-131</v>
      </c>
      <c r="Z30">
        <v>-131</v>
      </c>
      <c r="AJ30">
        <v>-1788</v>
      </c>
      <c r="AK30">
        <v>-490</v>
      </c>
      <c r="AL30">
        <v>-632</v>
      </c>
      <c r="AM30">
        <v>-146</v>
      </c>
      <c r="AN30">
        <v>-210</v>
      </c>
    </row>
    <row r="31" spans="1:44" x14ac:dyDescent="0.2">
      <c r="A31" t="s">
        <v>24</v>
      </c>
      <c r="B31">
        <v>-86</v>
      </c>
      <c r="C31">
        <v>-40</v>
      </c>
      <c r="D31">
        <v>-83</v>
      </c>
      <c r="E31">
        <v>-135</v>
      </c>
      <c r="F31">
        <v>-344</v>
      </c>
      <c r="G31">
        <v>-154</v>
      </c>
      <c r="H31">
        <v>154</v>
      </c>
      <c r="AG31">
        <v>-126</v>
      </c>
      <c r="AH31">
        <v>-209</v>
      </c>
    </row>
    <row r="32" spans="1:44" x14ac:dyDescent="0.2">
      <c r="A32" t="s">
        <v>8</v>
      </c>
      <c r="B32">
        <v>-104</v>
      </c>
      <c r="C32">
        <v>220</v>
      </c>
      <c r="D32">
        <v>197</v>
      </c>
      <c r="E32">
        <v>-93</v>
      </c>
      <c r="F32">
        <v>220</v>
      </c>
      <c r="G32">
        <v>64</v>
      </c>
      <c r="H32">
        <v>-11</v>
      </c>
      <c r="I32">
        <v>-576</v>
      </c>
      <c r="J32">
        <v>-222</v>
      </c>
      <c r="K32">
        <v>-745</v>
      </c>
      <c r="L32">
        <v>-56</v>
      </c>
      <c r="M32">
        <v>86</v>
      </c>
      <c r="N32">
        <v>-298</v>
      </c>
      <c r="O32">
        <v>-810</v>
      </c>
      <c r="P32">
        <v>-1078</v>
      </c>
      <c r="Q32">
        <v>-130</v>
      </c>
      <c r="R32">
        <v>-296</v>
      </c>
      <c r="S32">
        <v>-263</v>
      </c>
      <c r="T32">
        <v>-102</v>
      </c>
      <c r="U32">
        <v>-791</v>
      </c>
      <c r="V32">
        <v>204</v>
      </c>
      <c r="W32">
        <v>-204</v>
      </c>
      <c r="X32">
        <v>-78</v>
      </c>
      <c r="Y32">
        <v>-530</v>
      </c>
      <c r="Z32">
        <v>-608</v>
      </c>
      <c r="AA32">
        <v>-374</v>
      </c>
      <c r="AB32">
        <v>-194</v>
      </c>
      <c r="AC32">
        <v>-615</v>
      </c>
      <c r="AG32">
        <v>116</v>
      </c>
      <c r="AH32">
        <v>313</v>
      </c>
      <c r="AI32">
        <v>53</v>
      </c>
      <c r="AJ32">
        <v>-523</v>
      </c>
      <c r="AK32">
        <v>30</v>
      </c>
      <c r="AL32">
        <v>-268</v>
      </c>
      <c r="AM32">
        <v>-426</v>
      </c>
      <c r="AN32">
        <v>-689</v>
      </c>
      <c r="AP32">
        <v>-78</v>
      </c>
      <c r="AQ32">
        <v>-568</v>
      </c>
      <c r="AR32">
        <v>-1183</v>
      </c>
    </row>
    <row r="33" spans="1:44" x14ac:dyDescent="0.2">
      <c r="A33" t="s">
        <v>25</v>
      </c>
      <c r="I33">
        <v>310</v>
      </c>
      <c r="J33">
        <v>43</v>
      </c>
      <c r="K33">
        <v>353</v>
      </c>
      <c r="N33">
        <v>1526</v>
      </c>
      <c r="O33">
        <v>108</v>
      </c>
      <c r="P33">
        <v>1634</v>
      </c>
      <c r="S33">
        <v>58</v>
      </c>
      <c r="T33">
        <v>34</v>
      </c>
      <c r="U33">
        <v>92</v>
      </c>
      <c r="Y33">
        <v>387</v>
      </c>
      <c r="Z33">
        <v>387</v>
      </c>
      <c r="AJ33">
        <v>310</v>
      </c>
      <c r="AL33">
        <v>1526</v>
      </c>
      <c r="AN33">
        <v>58</v>
      </c>
    </row>
    <row r="34" spans="1:44" x14ac:dyDescent="0.2">
      <c r="A34" t="s">
        <v>26</v>
      </c>
      <c r="D34">
        <v>-87</v>
      </c>
      <c r="E34">
        <v>-308</v>
      </c>
      <c r="F34">
        <v>-395</v>
      </c>
      <c r="G34">
        <v>-94</v>
      </c>
      <c r="H34">
        <v>94</v>
      </c>
      <c r="AH34">
        <v>-87</v>
      </c>
    </row>
    <row r="35" spans="1:44" x14ac:dyDescent="0.2">
      <c r="A35" t="s">
        <v>27</v>
      </c>
    </row>
    <row r="36" spans="1:44" x14ac:dyDescent="0.2">
      <c r="A36" t="s">
        <v>228</v>
      </c>
      <c r="AR36" t="s">
        <v>186</v>
      </c>
    </row>
    <row r="37" spans="1:44" x14ac:dyDescent="0.2">
      <c r="A37" t="s">
        <v>28</v>
      </c>
      <c r="B37">
        <f>SUM(B24:B36)</f>
        <v>-19122</v>
      </c>
      <c r="C37">
        <f t="shared" ref="C37:X37" si="2">SUM(C24:C36)</f>
        <v>-14202</v>
      </c>
      <c r="D37">
        <f t="shared" si="2"/>
        <v>-3180</v>
      </c>
      <c r="E37">
        <f t="shared" si="2"/>
        <v>-9942</v>
      </c>
      <c r="F37">
        <f t="shared" si="2"/>
        <v>-46446</v>
      </c>
      <c r="G37">
        <f t="shared" si="2"/>
        <v>-13590</v>
      </c>
      <c r="H37">
        <f t="shared" si="2"/>
        <v>28710</v>
      </c>
      <c r="I37">
        <f t="shared" si="2"/>
        <v>3947</v>
      </c>
      <c r="J37">
        <f t="shared" si="2"/>
        <v>-3001</v>
      </c>
      <c r="K37">
        <f t="shared" si="2"/>
        <v>16066</v>
      </c>
      <c r="L37">
        <f t="shared" si="2"/>
        <v>5844</v>
      </c>
      <c r="M37">
        <f t="shared" si="2"/>
        <v>13348</v>
      </c>
      <c r="N37">
        <f t="shared" si="2"/>
        <v>27502</v>
      </c>
      <c r="O37">
        <f t="shared" si="2"/>
        <v>-798</v>
      </c>
      <c r="P37">
        <f t="shared" si="2"/>
        <v>45896</v>
      </c>
      <c r="Q37">
        <f t="shared" si="2"/>
        <v>-13668</v>
      </c>
      <c r="R37">
        <f t="shared" si="2"/>
        <v>9013</v>
      </c>
      <c r="S37">
        <f t="shared" si="2"/>
        <v>-5165</v>
      </c>
      <c r="T37">
        <f t="shared" si="2"/>
        <v>5531</v>
      </c>
      <c r="U37">
        <f t="shared" si="2"/>
        <v>-4289</v>
      </c>
      <c r="V37">
        <f t="shared" si="2"/>
        <v>-8584</v>
      </c>
      <c r="W37">
        <f t="shared" si="2"/>
        <v>-10368</v>
      </c>
      <c r="X37">
        <f t="shared" si="2"/>
        <v>3572</v>
      </c>
      <c r="Y37">
        <f>SUM(Y24:Y36)</f>
        <v>835</v>
      </c>
      <c r="Z37">
        <f t="shared" ref="Z37:AC37" si="3">SUM(Z24:Z36)</f>
        <v>-14545</v>
      </c>
      <c r="AA37">
        <f t="shared" si="3"/>
        <v>-16106</v>
      </c>
      <c r="AB37">
        <f t="shared" si="3"/>
        <v>-9265</v>
      </c>
      <c r="AC37">
        <f t="shared" si="3"/>
        <v>4234</v>
      </c>
      <c r="AG37">
        <f t="shared" ref="AG37:AR37" si="4">SUM(AG24:AG36)</f>
        <v>-33324</v>
      </c>
      <c r="AH37">
        <f t="shared" si="4"/>
        <v>-36504</v>
      </c>
      <c r="AI37">
        <f t="shared" si="4"/>
        <v>15120</v>
      </c>
      <c r="AJ37">
        <f t="shared" si="4"/>
        <v>19067</v>
      </c>
      <c r="AK37">
        <f t="shared" si="4"/>
        <v>19192</v>
      </c>
      <c r="AL37">
        <f t="shared" si="4"/>
        <v>46694</v>
      </c>
      <c r="AM37">
        <f t="shared" si="4"/>
        <v>-4655</v>
      </c>
      <c r="AN37">
        <f t="shared" si="4"/>
        <v>-9820</v>
      </c>
      <c r="AO37">
        <f t="shared" si="4"/>
        <v>-18952</v>
      </c>
      <c r="AP37">
        <f t="shared" si="4"/>
        <v>-15380</v>
      </c>
      <c r="AQ37">
        <f t="shared" si="4"/>
        <v>-25371</v>
      </c>
      <c r="AR37">
        <f t="shared" si="4"/>
        <v>-21137</v>
      </c>
    </row>
    <row r="39" spans="1:44" x14ac:dyDescent="0.2">
      <c r="A39" t="s">
        <v>29</v>
      </c>
      <c r="B39">
        <v>-629</v>
      </c>
      <c r="C39">
        <v>-159</v>
      </c>
      <c r="D39">
        <v>-858</v>
      </c>
      <c r="E39">
        <v>-228</v>
      </c>
      <c r="F39">
        <v>-1874</v>
      </c>
      <c r="G39">
        <v>-1038</v>
      </c>
      <c r="H39">
        <v>-152</v>
      </c>
      <c r="I39">
        <v>-1077</v>
      </c>
      <c r="J39">
        <v>-260</v>
      </c>
      <c r="K39">
        <v>-2527</v>
      </c>
      <c r="L39">
        <v>-1318</v>
      </c>
      <c r="M39">
        <v>-109</v>
      </c>
      <c r="N39">
        <v>-1199</v>
      </c>
      <c r="O39">
        <f>P39-AL39</f>
        <v>-191</v>
      </c>
      <c r="P39">
        <v>-2817</v>
      </c>
      <c r="Q39">
        <v>-1379</v>
      </c>
      <c r="R39">
        <v>-187</v>
      </c>
      <c r="S39">
        <v>-1668</v>
      </c>
      <c r="T39">
        <v>-400</v>
      </c>
      <c r="U39">
        <v>-3634</v>
      </c>
      <c r="V39">
        <v>-2861</v>
      </c>
      <c r="W39">
        <v>-299</v>
      </c>
      <c r="X39">
        <v>-2695</v>
      </c>
      <c r="Y39">
        <v>-701</v>
      </c>
      <c r="Z39">
        <v>-6556</v>
      </c>
      <c r="AA39">
        <v>-2888</v>
      </c>
      <c r="AB39">
        <v>-330</v>
      </c>
      <c r="AC39">
        <v>-2697</v>
      </c>
      <c r="AG39">
        <v>-788</v>
      </c>
      <c r="AH39">
        <v>-1646</v>
      </c>
      <c r="AI39">
        <v>-1190</v>
      </c>
      <c r="AJ39">
        <v>-2267</v>
      </c>
      <c r="AK39">
        <v>-1427</v>
      </c>
      <c r="AL39">
        <v>-2626</v>
      </c>
      <c r="AM39">
        <v>-1566</v>
      </c>
      <c r="AN39">
        <v>-3234</v>
      </c>
      <c r="AO39">
        <v>-3160</v>
      </c>
      <c r="AP39">
        <v>-5855</v>
      </c>
      <c r="AQ39">
        <v>-3218</v>
      </c>
      <c r="AR39">
        <v>-5915</v>
      </c>
    </row>
    <row r="40" spans="1:44" x14ac:dyDescent="0.2">
      <c r="A40" t="s">
        <v>30</v>
      </c>
      <c r="B40">
        <v>-3130</v>
      </c>
      <c r="C40">
        <v>-3004</v>
      </c>
      <c r="D40">
        <v>-3365</v>
      </c>
      <c r="E40">
        <f>-12769-AH40</f>
        <v>-3270</v>
      </c>
      <c r="F40">
        <v>-12769</v>
      </c>
      <c r="G40">
        <v>-3339</v>
      </c>
      <c r="H40">
        <v>-3190</v>
      </c>
      <c r="I40">
        <v>-3653</v>
      </c>
      <c r="J40">
        <f>K40-AJ40</f>
        <v>-3530</v>
      </c>
      <c r="K40">
        <v>-13712</v>
      </c>
      <c r="L40">
        <v>-3568</v>
      </c>
      <c r="M40">
        <v>-3443</v>
      </c>
      <c r="N40">
        <v>-3629</v>
      </c>
      <c r="O40">
        <f>P40-AL40</f>
        <v>-3479</v>
      </c>
      <c r="P40">
        <v>-14119</v>
      </c>
      <c r="Q40">
        <v>-3539</v>
      </c>
      <c r="R40">
        <v>-3375</v>
      </c>
      <c r="S40">
        <v>-3656</v>
      </c>
      <c r="T40">
        <v>-3511</v>
      </c>
      <c r="U40">
        <v>-14081</v>
      </c>
      <c r="V40">
        <v>-3613</v>
      </c>
      <c r="W40">
        <v>-3447</v>
      </c>
      <c r="X40">
        <v>-3767</v>
      </c>
      <c r="Y40">
        <v>-3640</v>
      </c>
      <c r="Z40">
        <v>-14467</v>
      </c>
      <c r="AA40">
        <v>-3732</v>
      </c>
      <c r="AB40">
        <v>-3595</v>
      </c>
      <c r="AC40">
        <v>-3811</v>
      </c>
      <c r="AG40">
        <v>-6134</v>
      </c>
      <c r="AH40">
        <v>-9499</v>
      </c>
      <c r="AI40">
        <v>-6529</v>
      </c>
      <c r="AJ40">
        <v>-10182</v>
      </c>
      <c r="AK40">
        <v>-7011</v>
      </c>
      <c r="AL40">
        <v>-10640</v>
      </c>
      <c r="AM40">
        <v>-6914</v>
      </c>
      <c r="AN40">
        <v>-10570</v>
      </c>
      <c r="AO40">
        <v>-7060</v>
      </c>
      <c r="AP40">
        <v>-10827</v>
      </c>
      <c r="AQ40">
        <v>-7327</v>
      </c>
      <c r="AR40">
        <v>-11138</v>
      </c>
    </row>
    <row r="41" spans="1:44" x14ac:dyDescent="0.2">
      <c r="A41" t="s">
        <v>31</v>
      </c>
      <c r="C41">
        <v>273</v>
      </c>
      <c r="D41">
        <v>1</v>
      </c>
      <c r="E41">
        <v>281</v>
      </c>
      <c r="F41">
        <v>555</v>
      </c>
      <c r="H41">
        <v>327</v>
      </c>
      <c r="I41">
        <v>1</v>
      </c>
      <c r="J41">
        <v>341</v>
      </c>
      <c r="K41">
        <v>669</v>
      </c>
      <c r="M41">
        <v>390</v>
      </c>
      <c r="N41">
        <v>1</v>
      </c>
      <c r="O41">
        <v>390</v>
      </c>
      <c r="P41">
        <v>781</v>
      </c>
      <c r="Q41">
        <v>2</v>
      </c>
      <c r="R41">
        <v>428</v>
      </c>
      <c r="T41">
        <v>450</v>
      </c>
      <c r="U41">
        <v>880</v>
      </c>
      <c r="W41">
        <v>561</v>
      </c>
      <c r="Y41">
        <v>544</v>
      </c>
      <c r="Z41">
        <v>1105</v>
      </c>
      <c r="AG41">
        <v>273</v>
      </c>
      <c r="AH41">
        <v>274</v>
      </c>
      <c r="AI41">
        <v>327</v>
      </c>
      <c r="AJ41">
        <v>328</v>
      </c>
      <c r="AK41">
        <v>390</v>
      </c>
      <c r="AL41">
        <v>391</v>
      </c>
      <c r="AM41">
        <v>430</v>
      </c>
      <c r="AN41">
        <v>430</v>
      </c>
      <c r="AO41">
        <v>561</v>
      </c>
      <c r="AP41">
        <v>561</v>
      </c>
    </row>
    <row r="42" spans="1:44" x14ac:dyDescent="0.2">
      <c r="A42" t="s">
        <v>32</v>
      </c>
      <c r="B42">
        <v>-10851</v>
      </c>
      <c r="C42">
        <v>-7161</v>
      </c>
      <c r="D42">
        <v>-7093</v>
      </c>
      <c r="E42">
        <v>-7795</v>
      </c>
      <c r="F42">
        <v>-32900</v>
      </c>
      <c r="G42">
        <v>-10095</v>
      </c>
      <c r="H42">
        <v>-22756</v>
      </c>
      <c r="I42">
        <v>-20783</v>
      </c>
      <c r="J42">
        <v>-19104</v>
      </c>
      <c r="K42">
        <v>-72738</v>
      </c>
      <c r="L42">
        <v>-8796</v>
      </c>
      <c r="M42">
        <v>-23702</v>
      </c>
      <c r="N42">
        <v>-16955</v>
      </c>
      <c r="O42">
        <v>-17444</v>
      </c>
      <c r="P42">
        <v>-66897</v>
      </c>
      <c r="Q42">
        <v>-20706</v>
      </c>
      <c r="R42">
        <v>-18574</v>
      </c>
      <c r="S42">
        <v>-15891</v>
      </c>
      <c r="T42">
        <v>-17187</v>
      </c>
      <c r="U42">
        <v>-72358</v>
      </c>
      <c r="V42">
        <v>-24775</v>
      </c>
      <c r="W42">
        <v>-18548</v>
      </c>
      <c r="X42">
        <v>-22900</v>
      </c>
      <c r="Y42">
        <v>-19748</v>
      </c>
      <c r="Z42">
        <v>-85971</v>
      </c>
      <c r="AA42">
        <v>-20478</v>
      </c>
      <c r="AB42">
        <v>-22631</v>
      </c>
      <c r="AC42">
        <v>-21865</v>
      </c>
      <c r="AG42">
        <v>-18012</v>
      </c>
      <c r="AH42">
        <v>-25105</v>
      </c>
      <c r="AI42">
        <v>-32851</v>
      </c>
      <c r="AJ42">
        <v>-53634</v>
      </c>
      <c r="AK42">
        <v>-32498</v>
      </c>
      <c r="AL42">
        <v>-49453</v>
      </c>
      <c r="AM42">
        <v>-39280</v>
      </c>
      <c r="AN42">
        <v>-55171</v>
      </c>
      <c r="AO42">
        <v>-43323</v>
      </c>
      <c r="AP42">
        <v>-66223</v>
      </c>
      <c r="AQ42">
        <v>-43109</v>
      </c>
      <c r="AR42">
        <v>-64974</v>
      </c>
    </row>
    <row r="43" spans="1:44" x14ac:dyDescent="0.2">
      <c r="A43" t="s">
        <v>33</v>
      </c>
      <c r="B43">
        <v>178</v>
      </c>
      <c r="C43">
        <v>47</v>
      </c>
      <c r="D43">
        <v>309</v>
      </c>
      <c r="E43">
        <v>93</v>
      </c>
      <c r="F43">
        <v>627</v>
      </c>
      <c r="AG43">
        <v>225</v>
      </c>
      <c r="AH43">
        <v>534</v>
      </c>
    </row>
    <row r="44" spans="1:44" x14ac:dyDescent="0.2">
      <c r="A44" t="s">
        <v>34</v>
      </c>
      <c r="C44">
        <v>10975</v>
      </c>
      <c r="D44">
        <v>10750</v>
      </c>
      <c r="E44">
        <v>6937</v>
      </c>
      <c r="F44">
        <v>28662</v>
      </c>
      <c r="G44">
        <v>6969</v>
      </c>
      <c r="K44">
        <v>6969</v>
      </c>
      <c r="O44">
        <v>6963</v>
      </c>
      <c r="P44">
        <v>6963</v>
      </c>
      <c r="Q44">
        <v>2210</v>
      </c>
      <c r="S44">
        <v>8425</v>
      </c>
      <c r="T44">
        <v>5456</v>
      </c>
      <c r="U44">
        <v>16091</v>
      </c>
      <c r="W44">
        <v>13923</v>
      </c>
      <c r="Y44">
        <v>6470</v>
      </c>
      <c r="Z44">
        <v>20393</v>
      </c>
      <c r="AG44">
        <v>10975</v>
      </c>
      <c r="AH44">
        <v>21725</v>
      </c>
      <c r="AI44">
        <v>6969</v>
      </c>
      <c r="AJ44">
        <v>6969</v>
      </c>
      <c r="AM44">
        <v>2210</v>
      </c>
      <c r="AN44">
        <v>10635</v>
      </c>
      <c r="AO44">
        <v>13923</v>
      </c>
      <c r="AP44">
        <v>13923</v>
      </c>
    </row>
    <row r="45" spans="1:44" x14ac:dyDescent="0.2">
      <c r="A45" t="s">
        <v>35</v>
      </c>
      <c r="D45">
        <v>-3500</v>
      </c>
      <c r="F45">
        <v>-3500</v>
      </c>
      <c r="H45">
        <v>-500</v>
      </c>
      <c r="I45">
        <v>-6000</v>
      </c>
      <c r="K45">
        <v>-6500</v>
      </c>
      <c r="M45">
        <v>-2500</v>
      </c>
      <c r="N45">
        <v>-3000</v>
      </c>
      <c r="O45">
        <v>-3305</v>
      </c>
      <c r="P45">
        <v>-8805</v>
      </c>
      <c r="Q45">
        <v>-1000</v>
      </c>
      <c r="R45">
        <v>-4250</v>
      </c>
      <c r="S45">
        <v>-7379</v>
      </c>
      <c r="U45">
        <v>-12629</v>
      </c>
      <c r="V45">
        <v>-1000</v>
      </c>
      <c r="W45">
        <v>-3500</v>
      </c>
      <c r="X45">
        <v>-3000</v>
      </c>
      <c r="Y45">
        <v>-1250</v>
      </c>
      <c r="Z45">
        <v>-8750</v>
      </c>
      <c r="AB45">
        <v>-3750</v>
      </c>
      <c r="AC45">
        <v>-3000</v>
      </c>
      <c r="AH45">
        <v>-3500</v>
      </c>
      <c r="AI45">
        <v>-500</v>
      </c>
      <c r="AJ45">
        <v>-6500</v>
      </c>
      <c r="AK45">
        <v>-2500</v>
      </c>
      <c r="AL45">
        <v>-5500</v>
      </c>
      <c r="AM45">
        <v>-5250</v>
      </c>
      <c r="AN45">
        <v>-12629</v>
      </c>
      <c r="AO45">
        <v>-4500</v>
      </c>
      <c r="AP45">
        <v>-7500</v>
      </c>
      <c r="AQ45">
        <v>-3750</v>
      </c>
      <c r="AR45">
        <v>-6750</v>
      </c>
    </row>
    <row r="46" spans="1:44" x14ac:dyDescent="0.2">
      <c r="A46" t="s">
        <v>36</v>
      </c>
      <c r="O46">
        <v>-5977</v>
      </c>
      <c r="P46">
        <v>-5977</v>
      </c>
      <c r="Q46">
        <v>-979</v>
      </c>
      <c r="R46">
        <v>2497</v>
      </c>
      <c r="S46">
        <v>-1487</v>
      </c>
      <c r="T46">
        <v>-31</v>
      </c>
      <c r="V46">
        <v>22</v>
      </c>
      <c r="X46">
        <v>3000</v>
      </c>
      <c r="Y46">
        <v>-2000</v>
      </c>
      <c r="Z46">
        <v>1022</v>
      </c>
      <c r="AA46">
        <v>-1000</v>
      </c>
      <c r="AB46">
        <v>1999</v>
      </c>
      <c r="AC46">
        <v>3971</v>
      </c>
      <c r="AM46">
        <v>1518</v>
      </c>
      <c r="AN46">
        <v>31</v>
      </c>
      <c r="AO46">
        <v>22</v>
      </c>
      <c r="AP46">
        <v>3022</v>
      </c>
      <c r="AQ46">
        <v>999</v>
      </c>
      <c r="AR46">
        <v>4970</v>
      </c>
    </row>
    <row r="47" spans="1:44" x14ac:dyDescent="0.2">
      <c r="A47" t="s">
        <v>37</v>
      </c>
      <c r="B47">
        <v>2385</v>
      </c>
      <c r="C47">
        <v>-506</v>
      </c>
      <c r="D47">
        <v>1987</v>
      </c>
      <c r="E47">
        <v>-14</v>
      </c>
      <c r="F47">
        <v>3852</v>
      </c>
      <c r="G47">
        <v>2</v>
      </c>
      <c r="H47">
        <v>-1</v>
      </c>
      <c r="I47">
        <v>-11</v>
      </c>
      <c r="J47">
        <v>-27</v>
      </c>
      <c r="K47">
        <v>-37</v>
      </c>
      <c r="L47">
        <v>6</v>
      </c>
      <c r="M47">
        <v>-6</v>
      </c>
      <c r="AG47">
        <v>1879</v>
      </c>
      <c r="AH47">
        <v>3866</v>
      </c>
      <c r="AI47">
        <v>1</v>
      </c>
      <c r="AJ47">
        <v>-10</v>
      </c>
    </row>
    <row r="48" spans="1:44" x14ac:dyDescent="0.2">
      <c r="A48" t="s">
        <v>8</v>
      </c>
      <c r="M48">
        <v>-87</v>
      </c>
      <c r="N48">
        <v>4</v>
      </c>
      <c r="O48">
        <v>-22</v>
      </c>
      <c r="P48">
        <v>-105</v>
      </c>
      <c r="Q48">
        <v>-16</v>
      </c>
      <c r="R48">
        <v>-35</v>
      </c>
      <c r="S48">
        <v>-69</v>
      </c>
      <c r="T48">
        <v>-6</v>
      </c>
      <c r="U48">
        <v>-126</v>
      </c>
      <c r="V48">
        <v>-22</v>
      </c>
      <c r="W48">
        <v>-16</v>
      </c>
      <c r="X48">
        <v>-34</v>
      </c>
      <c r="Y48">
        <v>-57</v>
      </c>
      <c r="Z48">
        <v>-129</v>
      </c>
      <c r="AA48">
        <v>-61</v>
      </c>
      <c r="AB48">
        <v>-44</v>
      </c>
      <c r="AC48">
        <v>-43</v>
      </c>
      <c r="AK48">
        <v>-87</v>
      </c>
      <c r="AL48">
        <v>-83</v>
      </c>
      <c r="AM48">
        <v>-51</v>
      </c>
      <c r="AN48">
        <v>-120</v>
      </c>
      <c r="AO48">
        <v>-38</v>
      </c>
      <c r="AP48">
        <v>-72</v>
      </c>
      <c r="AQ48">
        <v>-105</v>
      </c>
      <c r="AR48">
        <v>-148</v>
      </c>
    </row>
    <row r="49" spans="1:44" x14ac:dyDescent="0.2">
      <c r="A49" t="s">
        <v>41</v>
      </c>
      <c r="R49">
        <v>2556</v>
      </c>
      <c r="S49">
        <v>-2556</v>
      </c>
      <c r="AM49">
        <v>2556</v>
      </c>
    </row>
    <row r="50" spans="1:44" x14ac:dyDescent="0.2">
      <c r="A50" t="s">
        <v>42</v>
      </c>
      <c r="S50">
        <v>5165</v>
      </c>
      <c r="T50">
        <v>-5165</v>
      </c>
      <c r="AN50">
        <v>5165</v>
      </c>
    </row>
    <row r="51" spans="1:44" x14ac:dyDescent="0.2">
      <c r="A51" t="s">
        <v>43</v>
      </c>
      <c r="N51">
        <v>-2026</v>
      </c>
      <c r="O51">
        <v>2026</v>
      </c>
      <c r="T51">
        <v>-963</v>
      </c>
      <c r="U51">
        <v>-963</v>
      </c>
      <c r="AL51">
        <v>-2026</v>
      </c>
    </row>
    <row r="52" spans="1:44" x14ac:dyDescent="0.2">
      <c r="A52" t="s">
        <v>38</v>
      </c>
      <c r="B52">
        <v>-12047</v>
      </c>
      <c r="C52">
        <v>465</v>
      </c>
      <c r="D52">
        <v>-1769</v>
      </c>
      <c r="E52">
        <v>-3996</v>
      </c>
      <c r="F52">
        <v>-17347</v>
      </c>
      <c r="G52">
        <v>-7501</v>
      </c>
      <c r="H52">
        <v>-26272</v>
      </c>
      <c r="I52">
        <v>-31523</v>
      </c>
      <c r="J52">
        <v>-22580</v>
      </c>
      <c r="K52">
        <v>-87876</v>
      </c>
      <c r="L52">
        <v>-13676</v>
      </c>
      <c r="M52">
        <v>-29457</v>
      </c>
      <c r="N52">
        <v>-26804</v>
      </c>
      <c r="O52">
        <f>P52-AL52</f>
        <v>-21039</v>
      </c>
      <c r="P52">
        <v>-90976</v>
      </c>
      <c r="Q52">
        <v>-25407</v>
      </c>
      <c r="R52">
        <v>-20940</v>
      </c>
      <c r="S52">
        <v>-19116</v>
      </c>
      <c r="T52">
        <v>-21357</v>
      </c>
      <c r="U52">
        <v>-86820</v>
      </c>
      <c r="V52">
        <v>-32249</v>
      </c>
      <c r="W52">
        <v>-11326</v>
      </c>
      <c r="X52">
        <v>-29396</v>
      </c>
      <c r="Y52">
        <v>-20382</v>
      </c>
      <c r="Z52">
        <v>-93353</v>
      </c>
      <c r="AA52">
        <v>-28159</v>
      </c>
      <c r="AB52">
        <v>-28351</v>
      </c>
      <c r="AC52">
        <v>-27445</v>
      </c>
      <c r="AG52">
        <v>-11582</v>
      </c>
      <c r="AH52">
        <v>-13351</v>
      </c>
      <c r="AI52">
        <v>-33773</v>
      </c>
      <c r="AJ52">
        <v>-65296</v>
      </c>
      <c r="AK52">
        <v>-43133</v>
      </c>
      <c r="AL52">
        <v>-69937</v>
      </c>
      <c r="AM52">
        <v>-46347</v>
      </c>
      <c r="AN52">
        <v>-65463</v>
      </c>
      <c r="AO52">
        <v>-43575</v>
      </c>
      <c r="AP52">
        <v>-72971</v>
      </c>
      <c r="AQ52">
        <v>-56510</v>
      </c>
      <c r="AR52">
        <v>-83955</v>
      </c>
    </row>
    <row r="54" spans="1:44" x14ac:dyDescent="0.2">
      <c r="A54" t="s">
        <v>151</v>
      </c>
      <c r="B54">
        <f t="shared" ref="B54:AC54" si="5">B21+B37+B52</f>
        <v>-4113</v>
      </c>
      <c r="C54">
        <f t="shared" si="5"/>
        <v>-1214</v>
      </c>
      <c r="D54">
        <f t="shared" si="5"/>
        <v>3414</v>
      </c>
      <c r="E54">
        <f t="shared" si="5"/>
        <v>1718</v>
      </c>
      <c r="F54">
        <f t="shared" si="5"/>
        <v>-195</v>
      </c>
      <c r="G54">
        <f t="shared" si="5"/>
        <v>7202</v>
      </c>
      <c r="H54">
        <f t="shared" si="5"/>
        <v>17568</v>
      </c>
      <c r="I54">
        <f t="shared" si="5"/>
        <v>-13088</v>
      </c>
      <c r="J54">
        <f t="shared" si="5"/>
        <v>-6058</v>
      </c>
      <c r="K54">
        <f t="shared" si="5"/>
        <v>5624</v>
      </c>
      <c r="L54">
        <f t="shared" si="5"/>
        <v>18858</v>
      </c>
      <c r="M54">
        <f t="shared" si="5"/>
        <v>-4954</v>
      </c>
      <c r="N54">
        <f t="shared" si="5"/>
        <v>12334</v>
      </c>
      <c r="O54">
        <f t="shared" si="5"/>
        <v>-1927</v>
      </c>
      <c r="P54">
        <f t="shared" si="5"/>
        <v>24311</v>
      </c>
      <c r="Q54">
        <f>Q21+Q37+Q52</f>
        <v>-8559</v>
      </c>
      <c r="R54">
        <f t="shared" si="5"/>
        <v>1384</v>
      </c>
      <c r="S54">
        <f t="shared" si="5"/>
        <v>-8010</v>
      </c>
      <c r="T54">
        <f t="shared" si="5"/>
        <v>4750</v>
      </c>
      <c r="U54">
        <f t="shared" si="5"/>
        <v>-10435</v>
      </c>
      <c r="V54">
        <f t="shared" si="5"/>
        <v>-2070</v>
      </c>
      <c r="W54">
        <f t="shared" si="5"/>
        <v>2287</v>
      </c>
      <c r="X54">
        <f t="shared" si="5"/>
        <v>-4730</v>
      </c>
      <c r="Y54">
        <f t="shared" si="5"/>
        <v>653</v>
      </c>
      <c r="Z54">
        <f>Z21+Z37+Z52</f>
        <v>-3860</v>
      </c>
      <c r="AA54">
        <f t="shared" si="5"/>
        <v>2701</v>
      </c>
      <c r="AB54">
        <f t="shared" si="5"/>
        <v>-9450</v>
      </c>
      <c r="AC54">
        <f t="shared" si="5"/>
        <v>-319</v>
      </c>
      <c r="AG54">
        <f t="shared" ref="AG54:AR54" si="6">AG21+AG37+AG52</f>
        <v>-5327</v>
      </c>
      <c r="AH54">
        <f t="shared" si="6"/>
        <v>-1913</v>
      </c>
      <c r="AI54">
        <f t="shared" si="6"/>
        <v>24770</v>
      </c>
      <c r="AJ54">
        <f t="shared" si="6"/>
        <v>11682</v>
      </c>
      <c r="AK54">
        <f t="shared" si="6"/>
        <v>13904</v>
      </c>
      <c r="AL54">
        <f t="shared" si="6"/>
        <v>26238</v>
      </c>
      <c r="AM54">
        <f t="shared" si="6"/>
        <v>-7175</v>
      </c>
      <c r="AN54">
        <f t="shared" si="6"/>
        <v>-15185</v>
      </c>
      <c r="AO54">
        <f t="shared" si="6"/>
        <v>217</v>
      </c>
      <c r="AP54">
        <f t="shared" si="6"/>
        <v>-4513</v>
      </c>
      <c r="AQ54">
        <f t="shared" si="6"/>
        <v>-6749</v>
      </c>
      <c r="AR54">
        <f t="shared" si="6"/>
        <v>-7068</v>
      </c>
    </row>
    <row r="56" spans="1:44" x14ac:dyDescent="0.2">
      <c r="R56">
        <f>R54-R52</f>
        <v>22324</v>
      </c>
    </row>
    <row r="58" spans="1:44" x14ac:dyDescent="0.2">
      <c r="A58" t="s">
        <v>40</v>
      </c>
      <c r="B58">
        <v>16371</v>
      </c>
      <c r="C58">
        <v>15157</v>
      </c>
      <c r="D58">
        <v>18571</v>
      </c>
      <c r="E58">
        <v>20289</v>
      </c>
      <c r="F58">
        <v>20289</v>
      </c>
      <c r="G58">
        <v>27491</v>
      </c>
      <c r="H58">
        <v>45059</v>
      </c>
      <c r="I58">
        <v>31971</v>
      </c>
      <c r="J58">
        <v>25913</v>
      </c>
      <c r="K58">
        <v>25913</v>
      </c>
      <c r="L58">
        <v>44771</v>
      </c>
      <c r="M58">
        <v>39817</v>
      </c>
      <c r="N58">
        <v>52151</v>
      </c>
      <c r="O58">
        <v>50224</v>
      </c>
      <c r="P58">
        <v>50224</v>
      </c>
      <c r="Q58">
        <v>41665</v>
      </c>
      <c r="R58">
        <v>43049</v>
      </c>
      <c r="S58">
        <v>35039</v>
      </c>
      <c r="T58">
        <v>39789</v>
      </c>
      <c r="U58">
        <v>39789</v>
      </c>
      <c r="V58">
        <v>37719</v>
      </c>
      <c r="W58">
        <v>40006</v>
      </c>
      <c r="X58">
        <v>35276</v>
      </c>
      <c r="Y58">
        <v>35929</v>
      </c>
      <c r="Z58">
        <v>35929</v>
      </c>
      <c r="AA58">
        <v>38630</v>
      </c>
      <c r="AB58">
        <v>29180</v>
      </c>
      <c r="AC58">
        <v>28861</v>
      </c>
      <c r="AG58">
        <v>15157</v>
      </c>
      <c r="AH58">
        <v>18571</v>
      </c>
      <c r="AI58">
        <v>45059</v>
      </c>
      <c r="AJ58">
        <v>31971</v>
      </c>
      <c r="AK58">
        <v>39817</v>
      </c>
      <c r="AL58">
        <v>52151</v>
      </c>
      <c r="AM58">
        <v>43049</v>
      </c>
      <c r="AN58">
        <v>35039</v>
      </c>
      <c r="AO58">
        <v>40006</v>
      </c>
      <c r="AP58">
        <v>35276</v>
      </c>
      <c r="AQ58">
        <v>29180</v>
      </c>
      <c r="AR58">
        <v>28861</v>
      </c>
    </row>
    <row r="61" spans="1:44" x14ac:dyDescent="0.2">
      <c r="A61" t="s">
        <v>229</v>
      </c>
      <c r="AR61" t="s">
        <v>186</v>
      </c>
    </row>
    <row r="62" spans="1:44" x14ac:dyDescent="0.2">
      <c r="A62" t="s">
        <v>2</v>
      </c>
      <c r="B62">
        <v>3510</v>
      </c>
      <c r="C62">
        <v>3368</v>
      </c>
      <c r="D62">
        <v>2874</v>
      </c>
      <c r="E62">
        <v>1839</v>
      </c>
      <c r="F62">
        <v>11591</v>
      </c>
      <c r="G62">
        <v>3551</v>
      </c>
      <c r="H62">
        <v>2789</v>
      </c>
      <c r="I62">
        <v>2479</v>
      </c>
      <c r="J62">
        <v>1598</v>
      </c>
      <c r="K62">
        <v>10417</v>
      </c>
      <c r="L62">
        <v>4916</v>
      </c>
      <c r="M62">
        <v>4581</v>
      </c>
      <c r="N62">
        <v>2298</v>
      </c>
      <c r="O62">
        <v>3468</v>
      </c>
      <c r="P62">
        <v>15263</v>
      </c>
      <c r="Q62">
        <v>4393</v>
      </c>
      <c r="R62">
        <v>3112</v>
      </c>
      <c r="S62">
        <v>905</v>
      </c>
      <c r="T62">
        <v>1091</v>
      </c>
      <c r="U62">
        <v>9501</v>
      </c>
      <c r="V62">
        <v>1787</v>
      </c>
      <c r="W62">
        <v>8489</v>
      </c>
      <c r="X62">
        <v>8260</v>
      </c>
      <c r="Y62">
        <v>6849</v>
      </c>
      <c r="Z62">
        <v>25385</v>
      </c>
      <c r="AA62">
        <v>5235</v>
      </c>
      <c r="AB62">
        <v>4066</v>
      </c>
      <c r="AC62">
        <v>2950</v>
      </c>
      <c r="AG62">
        <v>6878</v>
      </c>
      <c r="AH62">
        <v>9752</v>
      </c>
      <c r="AI62">
        <v>6340</v>
      </c>
      <c r="AJ62">
        <v>8819</v>
      </c>
      <c r="AK62">
        <v>9497</v>
      </c>
      <c r="AL62">
        <v>11795</v>
      </c>
      <c r="AM62">
        <v>7505</v>
      </c>
      <c r="AN62">
        <v>8410</v>
      </c>
      <c r="AO62">
        <v>10276</v>
      </c>
      <c r="AP62">
        <v>18536</v>
      </c>
      <c r="AQ62">
        <v>9301</v>
      </c>
      <c r="AR62">
        <v>12251</v>
      </c>
    </row>
    <row r="63" spans="1:44" x14ac:dyDescent="0.2">
      <c r="A63" t="s">
        <v>3</v>
      </c>
      <c r="B63">
        <v>497</v>
      </c>
      <c r="C63">
        <v>510</v>
      </c>
      <c r="D63">
        <v>449</v>
      </c>
      <c r="E63">
        <v>636</v>
      </c>
      <c r="F63">
        <v>2092</v>
      </c>
      <c r="G63">
        <v>623</v>
      </c>
      <c r="H63">
        <v>733</v>
      </c>
      <c r="I63">
        <v>764</v>
      </c>
      <c r="J63">
        <v>902</v>
      </c>
      <c r="K63">
        <v>3022</v>
      </c>
      <c r="L63">
        <v>836</v>
      </c>
      <c r="M63">
        <v>926</v>
      </c>
      <c r="N63">
        <v>801</v>
      </c>
      <c r="O63">
        <v>860</v>
      </c>
      <c r="P63">
        <v>3423</v>
      </c>
      <c r="Q63">
        <v>771</v>
      </c>
      <c r="R63">
        <v>918</v>
      </c>
      <c r="S63">
        <v>586</v>
      </c>
      <c r="T63">
        <v>727</v>
      </c>
      <c r="U63">
        <v>3002</v>
      </c>
      <c r="V63">
        <v>619</v>
      </c>
      <c r="W63">
        <v>708</v>
      </c>
      <c r="X63">
        <v>543</v>
      </c>
      <c r="Y63">
        <v>817</v>
      </c>
      <c r="Z63">
        <v>2687</v>
      </c>
      <c r="AA63">
        <v>531</v>
      </c>
      <c r="AB63">
        <v>875</v>
      </c>
      <c r="AC63">
        <v>504</v>
      </c>
      <c r="AG63">
        <v>1007</v>
      </c>
      <c r="AH63">
        <v>1456</v>
      </c>
      <c r="AI63">
        <v>1356</v>
      </c>
      <c r="AJ63">
        <v>2120</v>
      </c>
      <c r="AK63">
        <v>1762</v>
      </c>
      <c r="AL63">
        <v>2563</v>
      </c>
      <c r="AM63">
        <v>1689</v>
      </c>
      <c r="AN63">
        <v>2275</v>
      </c>
      <c r="AO63">
        <v>1327</v>
      </c>
      <c r="AP63">
        <v>1870</v>
      </c>
      <c r="AQ63">
        <v>1406</v>
      </c>
      <c r="AR63">
        <v>1910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3F3CB-46D3-B347-8564-5BE872830DA4}">
  <sheetPr codeName="Sheet10"/>
  <dimension ref="A1:AC4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2" sqref="A22:XFD22"/>
    </sheetView>
  </sheetViews>
  <sheetFormatPr baseColWidth="10" defaultColWidth="8.83203125" defaultRowHeight="16" x14ac:dyDescent="0.2"/>
  <cols>
    <col min="1" max="1" width="28.83203125" customWidth="1"/>
  </cols>
  <sheetData>
    <row r="1" spans="1:29" x14ac:dyDescent="0.2">
      <c r="A1" s="3" t="s">
        <v>67</v>
      </c>
      <c r="B1" s="3" t="s">
        <v>73</v>
      </c>
      <c r="C1" s="3" t="s">
        <v>44</v>
      </c>
      <c r="D1" s="3" t="s">
        <v>45</v>
      </c>
      <c r="E1" s="3" t="s">
        <v>68</v>
      </c>
      <c r="F1" s="3" t="s">
        <v>46</v>
      </c>
      <c r="G1" s="3" t="s">
        <v>74</v>
      </c>
      <c r="H1" s="3" t="s">
        <v>47</v>
      </c>
      <c r="I1" s="3" t="s">
        <v>48</v>
      </c>
      <c r="J1" s="3" t="s">
        <v>69</v>
      </c>
      <c r="K1" s="3" t="s">
        <v>49</v>
      </c>
      <c r="L1" s="3" t="s">
        <v>75</v>
      </c>
      <c r="M1" s="3" t="s">
        <v>50</v>
      </c>
      <c r="N1" s="3" t="s">
        <v>51</v>
      </c>
      <c r="O1" s="3" t="s">
        <v>70</v>
      </c>
      <c r="P1" s="3" t="s">
        <v>52</v>
      </c>
      <c r="Q1" s="3" t="s">
        <v>76</v>
      </c>
      <c r="R1" s="3" t="s">
        <v>53</v>
      </c>
      <c r="S1" s="3" t="s">
        <v>54</v>
      </c>
      <c r="T1" s="3" t="s">
        <v>71</v>
      </c>
      <c r="U1" s="3" t="s">
        <v>55</v>
      </c>
      <c r="V1" s="3" t="s">
        <v>77</v>
      </c>
      <c r="W1" s="3" t="s">
        <v>56</v>
      </c>
      <c r="X1" s="3" t="s">
        <v>57</v>
      </c>
      <c r="Y1" s="3" t="s">
        <v>72</v>
      </c>
      <c r="Z1" s="3" t="s">
        <v>58</v>
      </c>
      <c r="AA1" s="3" t="s">
        <v>78</v>
      </c>
      <c r="AB1" s="3" t="s">
        <v>59</v>
      </c>
      <c r="AC1" s="3" t="s">
        <v>60</v>
      </c>
    </row>
    <row r="2" spans="1:29" x14ac:dyDescent="0.2">
      <c r="A2" t="s">
        <v>185</v>
      </c>
      <c r="AC2" t="s">
        <v>186</v>
      </c>
    </row>
    <row r="3" spans="1:29" x14ac:dyDescent="0.2">
      <c r="A3" t="s">
        <v>141</v>
      </c>
      <c r="B3">
        <v>16371</v>
      </c>
      <c r="C3">
        <v>15157</v>
      </c>
      <c r="D3">
        <v>18571</v>
      </c>
      <c r="E3">
        <v>20289</v>
      </c>
      <c r="F3">
        <v>20289</v>
      </c>
      <c r="G3">
        <v>27491</v>
      </c>
      <c r="H3">
        <v>45059</v>
      </c>
      <c r="I3">
        <v>31971</v>
      </c>
      <c r="J3">
        <v>25913</v>
      </c>
      <c r="K3">
        <v>25913</v>
      </c>
      <c r="L3">
        <v>44771</v>
      </c>
      <c r="M3">
        <v>37988</v>
      </c>
      <c r="N3">
        <v>50530</v>
      </c>
      <c r="O3">
        <v>48844</v>
      </c>
      <c r="P3">
        <v>48844</v>
      </c>
      <c r="Q3">
        <v>39771</v>
      </c>
      <c r="R3">
        <v>40174</v>
      </c>
      <c r="S3">
        <v>33383</v>
      </c>
      <c r="T3">
        <v>38016</v>
      </c>
      <c r="U3">
        <v>38016</v>
      </c>
      <c r="V3">
        <v>36010</v>
      </c>
      <c r="W3">
        <v>38466</v>
      </c>
      <c r="X3">
        <v>34050</v>
      </c>
      <c r="Y3">
        <v>34940</v>
      </c>
      <c r="Z3">
        <v>34940</v>
      </c>
      <c r="AA3">
        <v>37119</v>
      </c>
      <c r="AB3">
        <v>28098</v>
      </c>
      <c r="AC3">
        <v>27502</v>
      </c>
    </row>
    <row r="4" spans="1:29" x14ac:dyDescent="0.2">
      <c r="A4" t="s">
        <v>187</v>
      </c>
      <c r="B4">
        <v>44081</v>
      </c>
      <c r="C4">
        <v>51944</v>
      </c>
      <c r="D4">
        <v>58188</v>
      </c>
      <c r="E4">
        <v>53892</v>
      </c>
      <c r="F4">
        <v>53892</v>
      </c>
      <c r="G4">
        <v>49662</v>
      </c>
      <c r="H4">
        <v>42881</v>
      </c>
      <c r="I4">
        <v>38999</v>
      </c>
      <c r="J4">
        <v>40388</v>
      </c>
      <c r="K4">
        <v>40388</v>
      </c>
      <c r="L4">
        <v>41656</v>
      </c>
      <c r="M4">
        <v>42104</v>
      </c>
      <c r="N4">
        <v>44084</v>
      </c>
      <c r="O4">
        <v>51713</v>
      </c>
      <c r="P4">
        <v>51713</v>
      </c>
      <c r="Q4">
        <v>67391</v>
      </c>
      <c r="R4">
        <v>53877</v>
      </c>
      <c r="S4">
        <v>59642</v>
      </c>
      <c r="T4">
        <v>52927</v>
      </c>
      <c r="U4">
        <v>52927</v>
      </c>
      <c r="V4">
        <v>40816</v>
      </c>
      <c r="W4">
        <v>31368</v>
      </c>
      <c r="X4">
        <v>27646</v>
      </c>
      <c r="Y4">
        <v>27699</v>
      </c>
      <c r="Z4">
        <v>27699</v>
      </c>
      <c r="AA4">
        <v>26794</v>
      </c>
      <c r="AB4">
        <v>23413</v>
      </c>
      <c r="AC4">
        <v>20729</v>
      </c>
    </row>
    <row r="5" spans="1:29" x14ac:dyDescent="0.2">
      <c r="A5" t="s">
        <v>9</v>
      </c>
      <c r="B5">
        <v>14057</v>
      </c>
      <c r="C5">
        <v>11579</v>
      </c>
      <c r="D5">
        <v>12399</v>
      </c>
      <c r="E5">
        <v>17874</v>
      </c>
      <c r="F5">
        <v>17874</v>
      </c>
      <c r="G5">
        <v>23440</v>
      </c>
      <c r="H5">
        <v>14324</v>
      </c>
      <c r="I5">
        <v>14104</v>
      </c>
      <c r="J5">
        <v>23186</v>
      </c>
      <c r="K5">
        <v>23186</v>
      </c>
      <c r="L5">
        <v>18077</v>
      </c>
      <c r="M5">
        <v>15085</v>
      </c>
      <c r="N5">
        <v>14148</v>
      </c>
      <c r="O5">
        <v>22926</v>
      </c>
      <c r="P5">
        <v>22926</v>
      </c>
      <c r="Q5">
        <v>20970</v>
      </c>
      <c r="R5">
        <v>15722</v>
      </c>
      <c r="S5">
        <v>17882</v>
      </c>
      <c r="T5">
        <v>16120</v>
      </c>
      <c r="U5">
        <v>16120</v>
      </c>
      <c r="V5">
        <v>27101</v>
      </c>
      <c r="W5">
        <v>18503</v>
      </c>
      <c r="X5">
        <v>17475</v>
      </c>
      <c r="Y5">
        <v>26278</v>
      </c>
      <c r="Z5">
        <v>26278</v>
      </c>
      <c r="AA5">
        <v>30213</v>
      </c>
      <c r="AB5">
        <v>20815</v>
      </c>
      <c r="AC5">
        <v>21803</v>
      </c>
    </row>
    <row r="6" spans="1:29" x14ac:dyDescent="0.2">
      <c r="A6" t="s">
        <v>10</v>
      </c>
      <c r="B6">
        <v>2712</v>
      </c>
      <c r="C6">
        <v>2910</v>
      </c>
      <c r="D6">
        <v>3146</v>
      </c>
      <c r="E6">
        <v>4855</v>
      </c>
      <c r="F6">
        <v>4855</v>
      </c>
      <c r="G6">
        <v>4421</v>
      </c>
      <c r="H6">
        <v>7662</v>
      </c>
      <c r="I6">
        <v>5936</v>
      </c>
      <c r="J6">
        <v>3956</v>
      </c>
      <c r="K6">
        <v>3956</v>
      </c>
      <c r="L6">
        <v>4988</v>
      </c>
      <c r="M6">
        <v>4884</v>
      </c>
      <c r="N6">
        <v>3355</v>
      </c>
      <c r="O6">
        <v>4106</v>
      </c>
      <c r="P6">
        <v>4106</v>
      </c>
      <c r="Q6">
        <v>4097</v>
      </c>
      <c r="R6">
        <v>3334</v>
      </c>
      <c r="S6">
        <v>3978</v>
      </c>
      <c r="T6">
        <v>4061</v>
      </c>
      <c r="U6">
        <v>4061</v>
      </c>
      <c r="V6">
        <v>4973</v>
      </c>
      <c r="W6">
        <v>5219</v>
      </c>
      <c r="X6">
        <v>5178</v>
      </c>
      <c r="Y6">
        <v>6580</v>
      </c>
      <c r="Z6">
        <v>6580</v>
      </c>
      <c r="AA6">
        <v>5876</v>
      </c>
      <c r="AB6">
        <v>5460</v>
      </c>
      <c r="AC6">
        <v>5433</v>
      </c>
    </row>
    <row r="7" spans="1:29" x14ac:dyDescent="0.2">
      <c r="A7" t="s">
        <v>11</v>
      </c>
      <c r="B7">
        <v>13920</v>
      </c>
      <c r="C7">
        <v>9033</v>
      </c>
      <c r="D7">
        <v>10233</v>
      </c>
      <c r="E7">
        <v>17799</v>
      </c>
      <c r="F7">
        <v>17799</v>
      </c>
      <c r="G7">
        <v>27459</v>
      </c>
      <c r="H7">
        <v>8084</v>
      </c>
      <c r="I7">
        <v>12263</v>
      </c>
      <c r="J7">
        <v>25809</v>
      </c>
      <c r="K7">
        <v>25809</v>
      </c>
      <c r="L7">
        <v>18904</v>
      </c>
      <c r="M7">
        <v>11193</v>
      </c>
      <c r="N7">
        <v>12326</v>
      </c>
      <c r="O7">
        <v>22878</v>
      </c>
      <c r="P7">
        <v>22878</v>
      </c>
      <c r="Q7">
        <v>18976</v>
      </c>
      <c r="R7">
        <v>14955</v>
      </c>
      <c r="S7">
        <v>14193</v>
      </c>
      <c r="T7">
        <v>21325</v>
      </c>
      <c r="U7">
        <v>21325</v>
      </c>
      <c r="V7">
        <v>31519</v>
      </c>
      <c r="W7">
        <v>14533</v>
      </c>
      <c r="X7">
        <v>16433</v>
      </c>
      <c r="Y7">
        <v>25228</v>
      </c>
      <c r="Z7">
        <v>25228</v>
      </c>
      <c r="AA7">
        <v>35040</v>
      </c>
      <c r="AB7">
        <v>24585</v>
      </c>
      <c r="AC7">
        <v>20439</v>
      </c>
    </row>
    <row r="8" spans="1:29" x14ac:dyDescent="0.2">
      <c r="A8" t="s">
        <v>188</v>
      </c>
      <c r="B8">
        <v>12191</v>
      </c>
      <c r="C8">
        <v>11367</v>
      </c>
      <c r="D8">
        <v>10338</v>
      </c>
      <c r="E8">
        <v>13936</v>
      </c>
      <c r="F8">
        <v>13936</v>
      </c>
      <c r="G8">
        <v>11337</v>
      </c>
      <c r="H8">
        <v>12043</v>
      </c>
      <c r="I8">
        <v>12488</v>
      </c>
      <c r="J8">
        <v>12087</v>
      </c>
      <c r="K8">
        <v>12087</v>
      </c>
      <c r="L8">
        <v>12432</v>
      </c>
      <c r="M8">
        <v>12092</v>
      </c>
      <c r="N8">
        <v>10530</v>
      </c>
      <c r="O8">
        <v>12352</v>
      </c>
      <c r="P8">
        <v>12352</v>
      </c>
      <c r="Q8">
        <v>12026</v>
      </c>
      <c r="R8">
        <v>15691</v>
      </c>
      <c r="S8">
        <v>10987</v>
      </c>
      <c r="T8">
        <v>11264</v>
      </c>
      <c r="U8">
        <v>11264</v>
      </c>
      <c r="V8">
        <v>13687</v>
      </c>
      <c r="W8">
        <v>13376</v>
      </c>
      <c r="X8">
        <v>13641</v>
      </c>
      <c r="Y8">
        <v>14111</v>
      </c>
      <c r="Z8">
        <v>14111</v>
      </c>
      <c r="AA8">
        <v>18112</v>
      </c>
      <c r="AB8">
        <v>15809</v>
      </c>
      <c r="AC8">
        <v>16386</v>
      </c>
    </row>
    <row r="9" spans="1:29" x14ac:dyDescent="0.2">
      <c r="A9" t="s">
        <v>189</v>
      </c>
      <c r="B9">
        <f>SUM(B3:B8)</f>
        <v>103332</v>
      </c>
      <c r="C9">
        <f t="shared" ref="C9:AC9" si="0">SUM(C3:C8)</f>
        <v>101990</v>
      </c>
      <c r="D9">
        <f t="shared" si="0"/>
        <v>112875</v>
      </c>
      <c r="E9">
        <f t="shared" si="0"/>
        <v>128645</v>
      </c>
      <c r="F9">
        <f t="shared" si="0"/>
        <v>128645</v>
      </c>
      <c r="G9">
        <f t="shared" si="0"/>
        <v>143810</v>
      </c>
      <c r="H9">
        <f t="shared" si="0"/>
        <v>130053</v>
      </c>
      <c r="I9">
        <f t="shared" si="0"/>
        <v>115761</v>
      </c>
      <c r="J9">
        <f t="shared" si="0"/>
        <v>131339</v>
      </c>
      <c r="K9">
        <f t="shared" si="0"/>
        <v>131339</v>
      </c>
      <c r="L9">
        <f t="shared" si="0"/>
        <v>140828</v>
      </c>
      <c r="M9">
        <f t="shared" si="0"/>
        <v>123346</v>
      </c>
      <c r="N9">
        <f t="shared" si="0"/>
        <v>134973</v>
      </c>
      <c r="O9">
        <f t="shared" si="0"/>
        <v>162819</v>
      </c>
      <c r="P9">
        <f t="shared" si="0"/>
        <v>162819</v>
      </c>
      <c r="Q9">
        <f t="shared" si="0"/>
        <v>163231</v>
      </c>
      <c r="R9">
        <f t="shared" si="0"/>
        <v>143753</v>
      </c>
      <c r="S9">
        <f t="shared" si="0"/>
        <v>140065</v>
      </c>
      <c r="T9">
        <f t="shared" si="0"/>
        <v>143713</v>
      </c>
      <c r="U9">
        <f t="shared" si="0"/>
        <v>143713</v>
      </c>
      <c r="V9">
        <f t="shared" si="0"/>
        <v>154106</v>
      </c>
      <c r="W9">
        <f t="shared" si="0"/>
        <v>121465</v>
      </c>
      <c r="X9">
        <f t="shared" si="0"/>
        <v>114423</v>
      </c>
      <c r="Y9">
        <f t="shared" si="0"/>
        <v>134836</v>
      </c>
      <c r="Z9">
        <f t="shared" si="0"/>
        <v>134836</v>
      </c>
      <c r="AA9">
        <f t="shared" si="0"/>
        <v>153154</v>
      </c>
      <c r="AB9">
        <f t="shared" si="0"/>
        <v>118180</v>
      </c>
      <c r="AC9">
        <f t="shared" si="0"/>
        <v>112292</v>
      </c>
    </row>
    <row r="11" spans="1:29" x14ac:dyDescent="0.2">
      <c r="A11" t="s">
        <v>190</v>
      </c>
      <c r="AC11" t="s">
        <v>186</v>
      </c>
    </row>
    <row r="12" spans="1:29" x14ac:dyDescent="0.2">
      <c r="A12" t="s">
        <v>187</v>
      </c>
      <c r="B12">
        <v>185638</v>
      </c>
      <c r="C12">
        <v>189740</v>
      </c>
      <c r="D12">
        <v>184757</v>
      </c>
      <c r="E12">
        <v>194714</v>
      </c>
      <c r="F12">
        <v>194714</v>
      </c>
      <c r="G12">
        <v>207944</v>
      </c>
      <c r="H12">
        <v>179286</v>
      </c>
      <c r="I12">
        <v>172773</v>
      </c>
      <c r="J12">
        <v>170799</v>
      </c>
      <c r="K12">
        <v>170799</v>
      </c>
      <c r="L12">
        <v>158608</v>
      </c>
      <c r="M12">
        <v>145319</v>
      </c>
      <c r="N12">
        <v>115996</v>
      </c>
      <c r="O12">
        <v>105341</v>
      </c>
      <c r="P12">
        <v>105341</v>
      </c>
      <c r="Q12">
        <v>99899</v>
      </c>
      <c r="R12">
        <v>98793</v>
      </c>
      <c r="S12">
        <v>100592</v>
      </c>
      <c r="T12">
        <v>100887</v>
      </c>
      <c r="U12">
        <v>100887</v>
      </c>
      <c r="V12">
        <v>118745</v>
      </c>
      <c r="W12">
        <v>134539</v>
      </c>
      <c r="X12">
        <v>131948</v>
      </c>
      <c r="Y12">
        <v>127877</v>
      </c>
      <c r="Z12">
        <v>127877</v>
      </c>
      <c r="AA12">
        <v>138683</v>
      </c>
      <c r="AB12">
        <v>141219</v>
      </c>
      <c r="AC12">
        <v>131077</v>
      </c>
    </row>
    <row r="13" spans="1:29" x14ac:dyDescent="0.2">
      <c r="A13" t="s">
        <v>191</v>
      </c>
      <c r="B13">
        <v>26510</v>
      </c>
      <c r="C13">
        <v>27163</v>
      </c>
      <c r="D13">
        <v>29286</v>
      </c>
      <c r="E13">
        <v>33783</v>
      </c>
      <c r="F13">
        <v>33783</v>
      </c>
      <c r="G13">
        <v>33679</v>
      </c>
      <c r="H13">
        <v>35077</v>
      </c>
      <c r="I13">
        <v>38117</v>
      </c>
      <c r="J13">
        <v>41304</v>
      </c>
      <c r="K13">
        <v>41304</v>
      </c>
      <c r="L13">
        <v>39597</v>
      </c>
      <c r="M13">
        <v>38746</v>
      </c>
      <c r="N13">
        <v>37636</v>
      </c>
      <c r="O13">
        <v>37378</v>
      </c>
      <c r="P13">
        <v>37378</v>
      </c>
      <c r="Q13">
        <v>37031</v>
      </c>
      <c r="R13">
        <v>35889</v>
      </c>
      <c r="S13">
        <v>35687</v>
      </c>
      <c r="T13">
        <v>36766</v>
      </c>
      <c r="U13">
        <v>36766</v>
      </c>
      <c r="V13">
        <v>37933</v>
      </c>
      <c r="W13">
        <v>37815</v>
      </c>
      <c r="X13">
        <v>38615</v>
      </c>
      <c r="Y13">
        <v>39440</v>
      </c>
      <c r="Z13">
        <v>39440</v>
      </c>
      <c r="AA13">
        <v>39245</v>
      </c>
      <c r="AB13">
        <v>39304</v>
      </c>
      <c r="AC13">
        <v>40335</v>
      </c>
    </row>
    <row r="14" spans="1:29" x14ac:dyDescent="0.2">
      <c r="A14" t="s">
        <v>192</v>
      </c>
      <c r="B14">
        <v>5423</v>
      </c>
      <c r="C14">
        <v>5473</v>
      </c>
      <c r="D14">
        <v>5661</v>
      </c>
      <c r="E14">
        <v>5717</v>
      </c>
      <c r="F14">
        <v>5717</v>
      </c>
      <c r="G14">
        <v>5889</v>
      </c>
    </row>
    <row r="15" spans="1:29" x14ac:dyDescent="0.2">
      <c r="A15" t="s">
        <v>193</v>
      </c>
      <c r="B15">
        <v>2848</v>
      </c>
      <c r="C15">
        <v>2617</v>
      </c>
      <c r="D15">
        <v>2444</v>
      </c>
      <c r="E15">
        <v>2298</v>
      </c>
      <c r="F15">
        <v>2298</v>
      </c>
      <c r="G15">
        <v>2149</v>
      </c>
    </row>
    <row r="16" spans="1:29" x14ac:dyDescent="0.2">
      <c r="A16" t="s">
        <v>194</v>
      </c>
      <c r="B16">
        <v>7390</v>
      </c>
      <c r="C16">
        <v>7549</v>
      </c>
      <c r="D16">
        <v>10150</v>
      </c>
      <c r="E16">
        <v>10162</v>
      </c>
      <c r="F16">
        <v>10162</v>
      </c>
      <c r="G16">
        <v>13323</v>
      </c>
      <c r="H16">
        <v>23086</v>
      </c>
      <c r="I16">
        <v>22546</v>
      </c>
      <c r="J16">
        <v>22283</v>
      </c>
      <c r="K16">
        <v>22283</v>
      </c>
      <c r="L16">
        <v>34686</v>
      </c>
      <c r="M16">
        <v>34587</v>
      </c>
      <c r="N16">
        <v>33634</v>
      </c>
      <c r="O16">
        <v>32978</v>
      </c>
      <c r="P16">
        <v>32978</v>
      </c>
      <c r="Q16">
        <v>40457</v>
      </c>
      <c r="R16">
        <v>41965</v>
      </c>
      <c r="S16">
        <v>41000</v>
      </c>
      <c r="T16">
        <v>42522</v>
      </c>
      <c r="U16">
        <v>42522</v>
      </c>
      <c r="V16">
        <v>43270</v>
      </c>
      <c r="W16">
        <v>43339</v>
      </c>
      <c r="X16">
        <v>44854</v>
      </c>
      <c r="Y16">
        <v>48849</v>
      </c>
      <c r="Z16">
        <v>48849</v>
      </c>
      <c r="AA16">
        <v>50109</v>
      </c>
      <c r="AB16">
        <v>51959</v>
      </c>
      <c r="AC16">
        <v>52605</v>
      </c>
    </row>
    <row r="17" spans="1:29" x14ac:dyDescent="0.2">
      <c r="A17" t="s">
        <v>195</v>
      </c>
      <c r="B17">
        <f>SUM(B12:B16)</f>
        <v>227809</v>
      </c>
      <c r="C17">
        <f t="shared" ref="C17:I17" si="1">SUM(C12:C16)</f>
        <v>232542</v>
      </c>
      <c r="D17">
        <f t="shared" si="1"/>
        <v>232298</v>
      </c>
      <c r="E17">
        <f t="shared" si="1"/>
        <v>246674</v>
      </c>
      <c r="F17">
        <f t="shared" si="1"/>
        <v>246674</v>
      </c>
      <c r="G17">
        <f t="shared" si="1"/>
        <v>262984</v>
      </c>
      <c r="H17">
        <f t="shared" si="1"/>
        <v>237449</v>
      </c>
      <c r="I17">
        <f t="shared" si="1"/>
        <v>233436</v>
      </c>
      <c r="J17">
        <v>234386</v>
      </c>
      <c r="K17">
        <v>234386</v>
      </c>
      <c r="L17">
        <v>232891</v>
      </c>
      <c r="M17">
        <v>218652</v>
      </c>
      <c r="N17">
        <v>187266</v>
      </c>
      <c r="O17">
        <v>175697</v>
      </c>
      <c r="P17">
        <v>175697</v>
      </c>
      <c r="Q17">
        <v>177387</v>
      </c>
      <c r="R17">
        <v>176647</v>
      </c>
      <c r="S17">
        <v>177279</v>
      </c>
      <c r="T17">
        <v>180175</v>
      </c>
      <c r="U17">
        <v>180175</v>
      </c>
      <c r="V17">
        <v>199948</v>
      </c>
      <c r="W17">
        <v>215693</v>
      </c>
      <c r="X17">
        <v>215417</v>
      </c>
      <c r="Y17">
        <v>216166</v>
      </c>
      <c r="Z17">
        <v>216166</v>
      </c>
      <c r="AA17">
        <v>228037</v>
      </c>
      <c r="AB17">
        <v>232482</v>
      </c>
      <c r="AC17">
        <v>224017</v>
      </c>
    </row>
    <row r="19" spans="1:29" x14ac:dyDescent="0.2">
      <c r="A19" t="s">
        <v>196</v>
      </c>
      <c r="B19">
        <f>B9+B17</f>
        <v>331141</v>
      </c>
      <c r="C19">
        <f t="shared" ref="C19:Y19" si="2">C9+C17</f>
        <v>334532</v>
      </c>
      <c r="D19">
        <f t="shared" si="2"/>
        <v>345173</v>
      </c>
      <c r="E19">
        <f t="shared" si="2"/>
        <v>375319</v>
      </c>
      <c r="F19">
        <f t="shared" si="2"/>
        <v>375319</v>
      </c>
      <c r="G19">
        <f t="shared" si="2"/>
        <v>406794</v>
      </c>
      <c r="H19">
        <f t="shared" si="2"/>
        <v>367502</v>
      </c>
      <c r="I19">
        <f t="shared" si="2"/>
        <v>349197</v>
      </c>
      <c r="J19">
        <f t="shared" si="2"/>
        <v>365725</v>
      </c>
      <c r="K19">
        <f t="shared" si="2"/>
        <v>365725</v>
      </c>
      <c r="L19">
        <f t="shared" si="2"/>
        <v>373719</v>
      </c>
      <c r="M19">
        <f t="shared" si="2"/>
        <v>341998</v>
      </c>
      <c r="N19">
        <f t="shared" si="2"/>
        <v>322239</v>
      </c>
      <c r="O19">
        <f t="shared" si="2"/>
        <v>338516</v>
      </c>
      <c r="P19">
        <f t="shared" si="2"/>
        <v>338516</v>
      </c>
      <c r="Q19">
        <f t="shared" si="2"/>
        <v>340618</v>
      </c>
      <c r="R19">
        <f t="shared" si="2"/>
        <v>320400</v>
      </c>
      <c r="S19">
        <f t="shared" si="2"/>
        <v>317344</v>
      </c>
      <c r="T19">
        <f t="shared" si="2"/>
        <v>323888</v>
      </c>
      <c r="U19">
        <f t="shared" si="2"/>
        <v>323888</v>
      </c>
      <c r="V19">
        <f t="shared" si="2"/>
        <v>354054</v>
      </c>
      <c r="W19">
        <f t="shared" si="2"/>
        <v>337158</v>
      </c>
      <c r="X19">
        <f t="shared" si="2"/>
        <v>329840</v>
      </c>
      <c r="Y19">
        <f t="shared" si="2"/>
        <v>351002</v>
      </c>
      <c r="Z19">
        <f>Z9+Z17</f>
        <v>351002</v>
      </c>
      <c r="AA19">
        <f t="shared" ref="AA19:AC19" si="3">AA9+AA17</f>
        <v>381191</v>
      </c>
      <c r="AB19">
        <f t="shared" si="3"/>
        <v>350662</v>
      </c>
      <c r="AC19">
        <f t="shared" si="3"/>
        <v>336309</v>
      </c>
    </row>
    <row r="21" spans="1:29" x14ac:dyDescent="0.2">
      <c r="A21" t="s">
        <v>197</v>
      </c>
      <c r="AC21" t="s">
        <v>186</v>
      </c>
    </row>
    <row r="22" spans="1:29" x14ac:dyDescent="0.2">
      <c r="A22" t="s">
        <v>13</v>
      </c>
      <c r="B22">
        <v>38510</v>
      </c>
      <c r="C22">
        <v>28573</v>
      </c>
      <c r="D22">
        <v>31915</v>
      </c>
      <c r="E22">
        <v>49049</v>
      </c>
      <c r="F22">
        <v>49049</v>
      </c>
      <c r="G22">
        <v>62985</v>
      </c>
      <c r="H22">
        <v>34311</v>
      </c>
      <c r="I22">
        <v>38489</v>
      </c>
      <c r="J22">
        <v>55888</v>
      </c>
      <c r="K22">
        <v>55888</v>
      </c>
      <c r="L22">
        <v>44293</v>
      </c>
      <c r="M22">
        <v>30443</v>
      </c>
      <c r="N22">
        <v>29115</v>
      </c>
      <c r="O22">
        <v>46236</v>
      </c>
      <c r="P22">
        <v>46236</v>
      </c>
      <c r="Q22">
        <v>45111</v>
      </c>
      <c r="R22">
        <v>32421</v>
      </c>
      <c r="S22">
        <v>35325</v>
      </c>
      <c r="T22">
        <v>42296</v>
      </c>
      <c r="U22">
        <v>42296</v>
      </c>
      <c r="V22">
        <v>63846</v>
      </c>
      <c r="W22">
        <v>40127</v>
      </c>
      <c r="X22">
        <v>40409</v>
      </c>
      <c r="Y22">
        <v>54763</v>
      </c>
      <c r="Z22">
        <v>54763</v>
      </c>
      <c r="AA22">
        <v>74362</v>
      </c>
      <c r="AB22">
        <v>52682</v>
      </c>
      <c r="AC22">
        <v>48343</v>
      </c>
    </row>
    <row r="23" spans="1:29" x14ac:dyDescent="0.2">
      <c r="A23" t="s">
        <v>198</v>
      </c>
      <c r="B23">
        <v>23739</v>
      </c>
      <c r="C23">
        <v>23096</v>
      </c>
      <c r="D23">
        <v>23304</v>
      </c>
      <c r="E23">
        <v>25744</v>
      </c>
      <c r="F23">
        <v>25744</v>
      </c>
      <c r="G23">
        <v>26281</v>
      </c>
      <c r="H23">
        <v>26756</v>
      </c>
      <c r="I23">
        <v>25184</v>
      </c>
    </row>
    <row r="24" spans="1:29" x14ac:dyDescent="0.2">
      <c r="A24" t="s">
        <v>14</v>
      </c>
      <c r="B24">
        <v>7889</v>
      </c>
      <c r="C24">
        <v>7682</v>
      </c>
      <c r="D24">
        <v>7608</v>
      </c>
      <c r="E24">
        <v>7548</v>
      </c>
      <c r="F24">
        <v>7548</v>
      </c>
      <c r="G24">
        <v>8044</v>
      </c>
      <c r="H24">
        <v>7775</v>
      </c>
      <c r="I24">
        <v>7403</v>
      </c>
      <c r="J24">
        <v>7543</v>
      </c>
      <c r="K24">
        <v>7543</v>
      </c>
      <c r="L24">
        <v>5546</v>
      </c>
      <c r="M24">
        <v>5532</v>
      </c>
      <c r="N24">
        <v>5434</v>
      </c>
      <c r="O24">
        <v>5522</v>
      </c>
      <c r="P24">
        <v>5522</v>
      </c>
      <c r="Q24">
        <v>5573</v>
      </c>
      <c r="R24">
        <v>5928</v>
      </c>
      <c r="S24">
        <v>6313</v>
      </c>
      <c r="T24">
        <v>6643</v>
      </c>
      <c r="U24">
        <v>6643</v>
      </c>
      <c r="V24">
        <v>7395</v>
      </c>
      <c r="W24">
        <v>7595</v>
      </c>
      <c r="X24">
        <v>7681</v>
      </c>
      <c r="Y24">
        <v>7612</v>
      </c>
      <c r="Z24">
        <v>7612</v>
      </c>
      <c r="AA24">
        <v>7876</v>
      </c>
      <c r="AB24">
        <v>7920</v>
      </c>
      <c r="AC24">
        <v>7728</v>
      </c>
    </row>
    <row r="25" spans="1:29" x14ac:dyDescent="0.2">
      <c r="A25" t="s">
        <v>199</v>
      </c>
      <c r="B25">
        <v>10493</v>
      </c>
      <c r="C25">
        <v>9992</v>
      </c>
      <c r="D25">
        <v>11980</v>
      </c>
      <c r="E25">
        <v>11977</v>
      </c>
      <c r="F25">
        <v>11977</v>
      </c>
      <c r="G25">
        <v>11980</v>
      </c>
      <c r="H25">
        <v>11980</v>
      </c>
      <c r="I25">
        <v>11974</v>
      </c>
      <c r="J25">
        <v>11964</v>
      </c>
      <c r="K25">
        <v>11964</v>
      </c>
      <c r="L25">
        <v>11969</v>
      </c>
      <c r="M25">
        <v>11924</v>
      </c>
      <c r="N25">
        <v>9953</v>
      </c>
      <c r="O25">
        <v>5980</v>
      </c>
      <c r="P25">
        <v>5980</v>
      </c>
      <c r="Q25">
        <v>4990</v>
      </c>
      <c r="R25">
        <v>10029</v>
      </c>
      <c r="S25">
        <v>11166</v>
      </c>
      <c r="T25">
        <v>4996</v>
      </c>
      <c r="U25">
        <v>4996</v>
      </c>
      <c r="V25">
        <v>5000</v>
      </c>
      <c r="W25">
        <v>5000</v>
      </c>
      <c r="X25">
        <v>8000</v>
      </c>
      <c r="Y25">
        <v>6000</v>
      </c>
      <c r="Z25">
        <v>6000</v>
      </c>
      <c r="AA25">
        <v>5000</v>
      </c>
      <c r="AB25">
        <v>6999</v>
      </c>
      <c r="AC25">
        <v>10982</v>
      </c>
    </row>
    <row r="26" spans="1:29" x14ac:dyDescent="0.2">
      <c r="A26" t="s">
        <v>139</v>
      </c>
      <c r="B26">
        <v>3499</v>
      </c>
      <c r="C26">
        <v>3999</v>
      </c>
      <c r="D26">
        <v>6495</v>
      </c>
      <c r="E26">
        <v>6496</v>
      </c>
      <c r="F26">
        <v>6496</v>
      </c>
      <c r="G26">
        <v>6498</v>
      </c>
      <c r="H26">
        <v>8498</v>
      </c>
      <c r="I26">
        <v>5498</v>
      </c>
      <c r="J26">
        <v>8784</v>
      </c>
      <c r="K26">
        <v>8784</v>
      </c>
      <c r="L26">
        <v>9772</v>
      </c>
      <c r="M26">
        <v>10505</v>
      </c>
      <c r="N26">
        <v>13529</v>
      </c>
      <c r="O26">
        <v>10260</v>
      </c>
      <c r="P26">
        <v>10260</v>
      </c>
      <c r="Q26">
        <v>10224</v>
      </c>
      <c r="R26">
        <v>10392</v>
      </c>
      <c r="S26">
        <v>7509</v>
      </c>
      <c r="T26">
        <v>8773</v>
      </c>
      <c r="U26">
        <v>8773</v>
      </c>
      <c r="V26">
        <v>7762</v>
      </c>
      <c r="W26">
        <v>8003</v>
      </c>
      <c r="X26">
        <v>8039</v>
      </c>
      <c r="Y26">
        <v>9613</v>
      </c>
      <c r="Z26">
        <v>9613</v>
      </c>
      <c r="AA26">
        <v>11169</v>
      </c>
      <c r="AB26">
        <v>9659</v>
      </c>
      <c r="AC26">
        <v>14009</v>
      </c>
    </row>
    <row r="27" spans="1:29" x14ac:dyDescent="0.2">
      <c r="A27" t="s">
        <v>200</v>
      </c>
      <c r="J27">
        <v>32687</v>
      </c>
      <c r="K27">
        <v>32687</v>
      </c>
      <c r="L27">
        <v>36703</v>
      </c>
      <c r="M27">
        <v>35368</v>
      </c>
      <c r="N27">
        <v>31673</v>
      </c>
      <c r="O27">
        <v>37720</v>
      </c>
      <c r="P27">
        <v>37720</v>
      </c>
      <c r="Q27">
        <v>36263</v>
      </c>
      <c r="R27">
        <v>37324</v>
      </c>
      <c r="S27">
        <v>35005</v>
      </c>
      <c r="T27">
        <v>42684</v>
      </c>
      <c r="U27">
        <v>42684</v>
      </c>
      <c r="V27">
        <v>48504</v>
      </c>
      <c r="W27">
        <v>45660</v>
      </c>
      <c r="X27">
        <v>43625</v>
      </c>
      <c r="Y27">
        <v>47493</v>
      </c>
      <c r="Z27">
        <v>47493</v>
      </c>
      <c r="AA27">
        <v>49167</v>
      </c>
      <c r="AB27">
        <v>50248</v>
      </c>
      <c r="AC27">
        <v>48811</v>
      </c>
    </row>
    <row r="28" spans="1:29" x14ac:dyDescent="0.2">
      <c r="A28" t="s">
        <v>201</v>
      </c>
      <c r="B28">
        <f>SUM(B22:B27)</f>
        <v>84130</v>
      </c>
      <c r="C28">
        <f t="shared" ref="C28:AC28" si="4">SUM(C22:C27)</f>
        <v>73342</v>
      </c>
      <c r="D28">
        <f t="shared" si="4"/>
        <v>81302</v>
      </c>
      <c r="E28">
        <f t="shared" si="4"/>
        <v>100814</v>
      </c>
      <c r="F28">
        <f t="shared" si="4"/>
        <v>100814</v>
      </c>
      <c r="G28">
        <f t="shared" si="4"/>
        <v>115788</v>
      </c>
      <c r="H28">
        <f t="shared" si="4"/>
        <v>89320</v>
      </c>
      <c r="I28">
        <f t="shared" si="4"/>
        <v>88548</v>
      </c>
      <c r="J28">
        <f t="shared" si="4"/>
        <v>116866</v>
      </c>
      <c r="K28">
        <f t="shared" si="4"/>
        <v>116866</v>
      </c>
      <c r="L28">
        <f t="shared" si="4"/>
        <v>108283</v>
      </c>
      <c r="M28">
        <f t="shared" si="4"/>
        <v>93772</v>
      </c>
      <c r="N28">
        <f t="shared" si="4"/>
        <v>89704</v>
      </c>
      <c r="O28">
        <f t="shared" si="4"/>
        <v>105718</v>
      </c>
      <c r="P28">
        <f t="shared" si="4"/>
        <v>105718</v>
      </c>
      <c r="Q28">
        <f t="shared" si="4"/>
        <v>102161</v>
      </c>
      <c r="R28">
        <f t="shared" si="4"/>
        <v>96094</v>
      </c>
      <c r="S28">
        <f t="shared" si="4"/>
        <v>95318</v>
      </c>
      <c r="T28">
        <f t="shared" si="4"/>
        <v>105392</v>
      </c>
      <c r="U28">
        <f t="shared" si="4"/>
        <v>105392</v>
      </c>
      <c r="V28">
        <f t="shared" si="4"/>
        <v>132507</v>
      </c>
      <c r="W28">
        <f t="shared" si="4"/>
        <v>106385</v>
      </c>
      <c r="X28">
        <f t="shared" si="4"/>
        <v>107754</v>
      </c>
      <c r="Y28">
        <f t="shared" si="4"/>
        <v>125481</v>
      </c>
      <c r="Z28">
        <f t="shared" si="4"/>
        <v>125481</v>
      </c>
      <c r="AA28">
        <f t="shared" si="4"/>
        <v>147574</v>
      </c>
      <c r="AB28">
        <f t="shared" si="4"/>
        <v>127508</v>
      </c>
      <c r="AC28">
        <f t="shared" si="4"/>
        <v>129873</v>
      </c>
    </row>
    <row r="31" spans="1:29" x14ac:dyDescent="0.2">
      <c r="A31" t="s">
        <v>202</v>
      </c>
      <c r="AC31" t="s">
        <v>186</v>
      </c>
    </row>
    <row r="32" spans="1:29" x14ac:dyDescent="0.2">
      <c r="A32" t="s">
        <v>14</v>
      </c>
      <c r="B32">
        <v>3163</v>
      </c>
      <c r="C32">
        <v>3107</v>
      </c>
      <c r="D32">
        <v>2984</v>
      </c>
      <c r="E32">
        <v>2836</v>
      </c>
      <c r="F32">
        <v>2836</v>
      </c>
      <c r="G32">
        <v>3131</v>
      </c>
      <c r="H32">
        <v>3087</v>
      </c>
      <c r="I32">
        <v>2878</v>
      </c>
      <c r="J32">
        <v>2797</v>
      </c>
      <c r="K32">
        <v>2797</v>
      </c>
    </row>
    <row r="33" spans="1:29" x14ac:dyDescent="0.2">
      <c r="A33" t="s">
        <v>140</v>
      </c>
      <c r="B33">
        <v>73557</v>
      </c>
      <c r="C33">
        <v>84531</v>
      </c>
      <c r="D33">
        <v>89864</v>
      </c>
      <c r="E33">
        <v>97207</v>
      </c>
      <c r="F33">
        <v>97207</v>
      </c>
      <c r="G33">
        <v>103922</v>
      </c>
      <c r="H33">
        <v>101362</v>
      </c>
      <c r="I33">
        <v>97128</v>
      </c>
      <c r="J33">
        <v>93735</v>
      </c>
      <c r="K33">
        <v>93735</v>
      </c>
      <c r="L33">
        <v>92989</v>
      </c>
      <c r="M33">
        <v>90201</v>
      </c>
      <c r="N33">
        <v>84936</v>
      </c>
      <c r="O33">
        <v>91807</v>
      </c>
      <c r="P33">
        <v>91807</v>
      </c>
      <c r="Q33">
        <v>93078</v>
      </c>
      <c r="R33">
        <v>89086</v>
      </c>
      <c r="S33">
        <v>94048</v>
      </c>
      <c r="T33">
        <v>98667</v>
      </c>
      <c r="U33">
        <v>98667</v>
      </c>
      <c r="V33">
        <v>99281</v>
      </c>
      <c r="W33">
        <v>108642</v>
      </c>
      <c r="X33">
        <v>105752</v>
      </c>
      <c r="Y33">
        <v>109106</v>
      </c>
      <c r="Z33">
        <v>109106</v>
      </c>
      <c r="AA33">
        <v>106629</v>
      </c>
      <c r="AB33">
        <v>103323</v>
      </c>
      <c r="AC33">
        <v>94700</v>
      </c>
    </row>
    <row r="34" spans="1:29" x14ac:dyDescent="0.2">
      <c r="A34" t="s">
        <v>203</v>
      </c>
      <c r="B34">
        <v>37901</v>
      </c>
      <c r="C34">
        <v>39470</v>
      </c>
      <c r="D34">
        <v>38598</v>
      </c>
      <c r="E34">
        <v>40415</v>
      </c>
      <c r="F34">
        <v>40415</v>
      </c>
      <c r="G34">
        <v>43754</v>
      </c>
      <c r="H34">
        <v>46855</v>
      </c>
      <c r="I34">
        <v>45694</v>
      </c>
      <c r="J34">
        <v>45180</v>
      </c>
      <c r="K34">
        <v>45180</v>
      </c>
      <c r="L34">
        <v>54555</v>
      </c>
      <c r="M34">
        <v>52165</v>
      </c>
      <c r="N34">
        <v>51143</v>
      </c>
      <c r="O34">
        <v>50503</v>
      </c>
      <c r="P34">
        <v>50503</v>
      </c>
      <c r="Q34">
        <v>55848</v>
      </c>
      <c r="R34">
        <v>56795</v>
      </c>
      <c r="S34">
        <v>55696</v>
      </c>
      <c r="T34">
        <v>54490</v>
      </c>
      <c r="U34">
        <v>54490</v>
      </c>
      <c r="V34">
        <v>56042</v>
      </c>
      <c r="W34">
        <v>52953</v>
      </c>
      <c r="X34">
        <v>52054</v>
      </c>
      <c r="Y34">
        <v>53325</v>
      </c>
      <c r="Z34">
        <v>53325</v>
      </c>
      <c r="AA34">
        <v>55056</v>
      </c>
      <c r="AB34">
        <v>52432</v>
      </c>
      <c r="AC34">
        <v>53629</v>
      </c>
    </row>
    <row r="35" spans="1:29" x14ac:dyDescent="0.2">
      <c r="A35" t="s">
        <v>204</v>
      </c>
      <c r="B35">
        <f t="shared" ref="B35:AC35" si="5">SUM(B32:B34)</f>
        <v>114621</v>
      </c>
      <c r="C35">
        <f t="shared" si="5"/>
        <v>127108</v>
      </c>
      <c r="D35">
        <f t="shared" si="5"/>
        <v>131446</v>
      </c>
      <c r="E35">
        <f t="shared" si="5"/>
        <v>140458</v>
      </c>
      <c r="F35">
        <f t="shared" si="5"/>
        <v>140458</v>
      </c>
      <c r="G35">
        <f t="shared" si="5"/>
        <v>150807</v>
      </c>
      <c r="H35">
        <f t="shared" si="5"/>
        <v>151304</v>
      </c>
      <c r="I35">
        <f t="shared" si="5"/>
        <v>145700</v>
      </c>
      <c r="J35">
        <f t="shared" si="5"/>
        <v>141712</v>
      </c>
      <c r="K35">
        <f t="shared" si="5"/>
        <v>141712</v>
      </c>
      <c r="L35">
        <f t="shared" si="5"/>
        <v>147544</v>
      </c>
      <c r="M35">
        <f t="shared" si="5"/>
        <v>142366</v>
      </c>
      <c r="N35">
        <f t="shared" si="5"/>
        <v>136079</v>
      </c>
      <c r="O35">
        <f t="shared" si="5"/>
        <v>142310</v>
      </c>
      <c r="P35">
        <f t="shared" si="5"/>
        <v>142310</v>
      </c>
      <c r="Q35">
        <f t="shared" si="5"/>
        <v>148926</v>
      </c>
      <c r="R35">
        <f t="shared" si="5"/>
        <v>145881</v>
      </c>
      <c r="S35">
        <f t="shared" si="5"/>
        <v>149744</v>
      </c>
      <c r="T35">
        <f t="shared" si="5"/>
        <v>153157</v>
      </c>
      <c r="U35">
        <f t="shared" si="5"/>
        <v>153157</v>
      </c>
      <c r="V35">
        <f t="shared" si="5"/>
        <v>155323</v>
      </c>
      <c r="W35">
        <f t="shared" si="5"/>
        <v>161595</v>
      </c>
      <c r="X35">
        <f t="shared" si="5"/>
        <v>157806</v>
      </c>
      <c r="Y35">
        <f t="shared" si="5"/>
        <v>162431</v>
      </c>
      <c r="Z35">
        <f t="shared" si="5"/>
        <v>162431</v>
      </c>
      <c r="AA35">
        <f t="shared" si="5"/>
        <v>161685</v>
      </c>
      <c r="AB35">
        <f t="shared" si="5"/>
        <v>155755</v>
      </c>
      <c r="AC35">
        <f t="shared" si="5"/>
        <v>148329</v>
      </c>
    </row>
    <row r="38" spans="1:29" x14ac:dyDescent="0.2">
      <c r="A38" t="s">
        <v>205</v>
      </c>
      <c r="B38">
        <f t="shared" ref="B38:AC38" si="6">B28+B35</f>
        <v>198751</v>
      </c>
      <c r="C38">
        <f t="shared" si="6"/>
        <v>200450</v>
      </c>
      <c r="D38">
        <f t="shared" si="6"/>
        <v>212748</v>
      </c>
      <c r="E38">
        <f t="shared" si="6"/>
        <v>241272</v>
      </c>
      <c r="F38">
        <f t="shared" si="6"/>
        <v>241272</v>
      </c>
      <c r="G38">
        <f t="shared" si="6"/>
        <v>266595</v>
      </c>
      <c r="H38">
        <f t="shared" si="6"/>
        <v>240624</v>
      </c>
      <c r="I38">
        <f t="shared" si="6"/>
        <v>234248</v>
      </c>
      <c r="J38">
        <f t="shared" si="6"/>
        <v>258578</v>
      </c>
      <c r="K38">
        <f t="shared" si="6"/>
        <v>258578</v>
      </c>
      <c r="L38">
        <f t="shared" si="6"/>
        <v>255827</v>
      </c>
      <c r="M38">
        <f t="shared" si="6"/>
        <v>236138</v>
      </c>
      <c r="N38">
        <f t="shared" si="6"/>
        <v>225783</v>
      </c>
      <c r="O38">
        <f t="shared" si="6"/>
        <v>248028</v>
      </c>
      <c r="P38">
        <f t="shared" si="6"/>
        <v>248028</v>
      </c>
      <c r="Q38">
        <f t="shared" si="6"/>
        <v>251087</v>
      </c>
      <c r="R38">
        <f t="shared" si="6"/>
        <v>241975</v>
      </c>
      <c r="S38">
        <f t="shared" si="6"/>
        <v>245062</v>
      </c>
      <c r="T38">
        <f t="shared" si="6"/>
        <v>258549</v>
      </c>
      <c r="U38">
        <f t="shared" si="6"/>
        <v>258549</v>
      </c>
      <c r="V38">
        <f t="shared" si="6"/>
        <v>287830</v>
      </c>
      <c r="W38">
        <f t="shared" si="6"/>
        <v>267980</v>
      </c>
      <c r="X38">
        <f t="shared" si="6"/>
        <v>265560</v>
      </c>
      <c r="Y38">
        <f t="shared" si="6"/>
        <v>287912</v>
      </c>
      <c r="Z38">
        <f t="shared" si="6"/>
        <v>287912</v>
      </c>
      <c r="AA38">
        <f t="shared" si="6"/>
        <v>309259</v>
      </c>
      <c r="AB38">
        <f t="shared" si="6"/>
        <v>283263</v>
      </c>
      <c r="AC38">
        <f t="shared" si="6"/>
        <v>278202</v>
      </c>
    </row>
    <row r="40" spans="1:29" x14ac:dyDescent="0.2">
      <c r="A40" t="s">
        <v>206</v>
      </c>
      <c r="B40" t="s">
        <v>207</v>
      </c>
      <c r="C40" t="s">
        <v>207</v>
      </c>
      <c r="D40" t="s">
        <v>207</v>
      </c>
      <c r="E40" t="s">
        <v>207</v>
      </c>
      <c r="F40" t="s">
        <v>207</v>
      </c>
      <c r="G40" t="s">
        <v>207</v>
      </c>
      <c r="H40" t="s">
        <v>207</v>
      </c>
      <c r="I40" t="s">
        <v>207</v>
      </c>
      <c r="J40" t="s">
        <v>207</v>
      </c>
      <c r="K40" t="s">
        <v>207</v>
      </c>
      <c r="L40" t="s">
        <v>207</v>
      </c>
      <c r="M40" t="s">
        <v>207</v>
      </c>
      <c r="N40" t="s">
        <v>207</v>
      </c>
      <c r="O40" t="s">
        <v>207</v>
      </c>
      <c r="P40" t="s">
        <v>207</v>
      </c>
      <c r="Q40" t="s">
        <v>207</v>
      </c>
      <c r="R40" t="s">
        <v>207</v>
      </c>
      <c r="S40" t="s">
        <v>207</v>
      </c>
      <c r="T40" t="s">
        <v>207</v>
      </c>
      <c r="U40" t="s">
        <v>207</v>
      </c>
      <c r="V40" t="s">
        <v>207</v>
      </c>
      <c r="W40" t="s">
        <v>207</v>
      </c>
      <c r="X40" t="s">
        <v>207</v>
      </c>
      <c r="Y40" t="s">
        <v>207</v>
      </c>
      <c r="Z40" t="s">
        <v>207</v>
      </c>
      <c r="AA40" t="s">
        <v>207</v>
      </c>
      <c r="AB40" t="s">
        <v>207</v>
      </c>
      <c r="AC40" t="s">
        <v>207</v>
      </c>
    </row>
    <row r="41" spans="1:29" x14ac:dyDescent="0.2">
      <c r="A41" t="s">
        <v>208</v>
      </c>
      <c r="AC41" t="s">
        <v>186</v>
      </c>
    </row>
    <row r="42" spans="1:29" x14ac:dyDescent="0.2">
      <c r="A42" t="s">
        <v>209</v>
      </c>
      <c r="B42">
        <v>32144</v>
      </c>
      <c r="C42">
        <v>33579</v>
      </c>
      <c r="D42">
        <v>34445</v>
      </c>
      <c r="E42">
        <v>35867</v>
      </c>
      <c r="F42">
        <v>35867</v>
      </c>
      <c r="G42">
        <v>36447</v>
      </c>
      <c r="H42">
        <v>38044</v>
      </c>
      <c r="I42">
        <v>38624</v>
      </c>
      <c r="J42">
        <v>40201</v>
      </c>
      <c r="K42">
        <v>40201</v>
      </c>
      <c r="L42">
        <v>40970</v>
      </c>
      <c r="M42">
        <v>42801</v>
      </c>
      <c r="N42">
        <v>43371</v>
      </c>
      <c r="O42">
        <v>45174</v>
      </c>
      <c r="P42">
        <v>45174</v>
      </c>
      <c r="Q42">
        <v>45972</v>
      </c>
      <c r="R42">
        <v>48032</v>
      </c>
      <c r="S42">
        <v>48696</v>
      </c>
      <c r="T42">
        <v>50779</v>
      </c>
      <c r="U42">
        <v>50779</v>
      </c>
      <c r="V42">
        <v>51744</v>
      </c>
      <c r="W42">
        <v>54203</v>
      </c>
      <c r="X42">
        <v>54989</v>
      </c>
      <c r="Y42">
        <v>57365</v>
      </c>
      <c r="Z42">
        <v>57365</v>
      </c>
      <c r="AA42">
        <v>58424</v>
      </c>
      <c r="AB42">
        <v>61181</v>
      </c>
      <c r="AC42">
        <v>62115</v>
      </c>
    </row>
    <row r="43" spans="1:29" x14ac:dyDescent="0.2">
      <c r="A43" t="s">
        <v>210</v>
      </c>
      <c r="B43">
        <v>100001</v>
      </c>
      <c r="C43">
        <v>100925</v>
      </c>
      <c r="D43">
        <v>98525</v>
      </c>
      <c r="E43">
        <v>98330</v>
      </c>
      <c r="F43">
        <v>98330</v>
      </c>
      <c r="G43">
        <v>104593</v>
      </c>
      <c r="H43">
        <v>91898</v>
      </c>
      <c r="I43">
        <v>79436</v>
      </c>
      <c r="J43">
        <v>70400</v>
      </c>
      <c r="K43">
        <v>70400</v>
      </c>
      <c r="L43">
        <v>80510</v>
      </c>
      <c r="M43">
        <v>64558</v>
      </c>
      <c r="N43">
        <v>53724</v>
      </c>
      <c r="O43">
        <v>45898</v>
      </c>
      <c r="P43">
        <v>45898</v>
      </c>
      <c r="Q43">
        <v>43977</v>
      </c>
      <c r="R43">
        <v>33182</v>
      </c>
      <c r="S43">
        <v>24136</v>
      </c>
      <c r="T43">
        <v>14966</v>
      </c>
      <c r="U43">
        <v>14966</v>
      </c>
      <c r="V43">
        <v>14301</v>
      </c>
      <c r="W43">
        <v>15261</v>
      </c>
      <c r="X43">
        <v>9233</v>
      </c>
      <c r="Y43">
        <v>5562</v>
      </c>
      <c r="Z43">
        <v>5562</v>
      </c>
      <c r="AA43">
        <v>14435</v>
      </c>
      <c r="AB43">
        <v>12712</v>
      </c>
      <c r="AC43">
        <v>5289</v>
      </c>
    </row>
    <row r="44" spans="1:29" x14ac:dyDescent="0.2">
      <c r="A44" t="s">
        <v>211</v>
      </c>
      <c r="B44">
        <v>245</v>
      </c>
      <c r="C44">
        <v>-422</v>
      </c>
      <c r="D44">
        <v>-545</v>
      </c>
      <c r="E44">
        <v>-150</v>
      </c>
      <c r="F44">
        <v>-150</v>
      </c>
      <c r="G44">
        <v>-841</v>
      </c>
      <c r="H44">
        <v>-3064</v>
      </c>
      <c r="I44">
        <v>-3111</v>
      </c>
      <c r="J44">
        <v>-3454</v>
      </c>
      <c r="K44">
        <v>-3454</v>
      </c>
      <c r="L44">
        <v>-3588</v>
      </c>
      <c r="M44">
        <v>-1499</v>
      </c>
      <c r="N44">
        <v>-639</v>
      </c>
      <c r="O44">
        <v>-584</v>
      </c>
      <c r="P44">
        <v>-584</v>
      </c>
      <c r="Q44">
        <v>-418</v>
      </c>
      <c r="R44">
        <v>-2789</v>
      </c>
      <c r="S44">
        <v>-550</v>
      </c>
      <c r="T44">
        <v>-406</v>
      </c>
      <c r="U44">
        <v>-406</v>
      </c>
      <c r="V44">
        <v>179</v>
      </c>
      <c r="W44">
        <v>-286</v>
      </c>
      <c r="X44">
        <v>58</v>
      </c>
      <c r="Y44">
        <v>163</v>
      </c>
      <c r="Z44">
        <v>163</v>
      </c>
      <c r="AA44">
        <v>-927</v>
      </c>
      <c r="AB44">
        <v>-6494</v>
      </c>
      <c r="AC44">
        <v>-9297</v>
      </c>
    </row>
    <row r="45" spans="1:29" x14ac:dyDescent="0.2">
      <c r="A45" t="s">
        <v>212</v>
      </c>
      <c r="B45">
        <f>B19-B38</f>
        <v>132390</v>
      </c>
      <c r="C45">
        <f t="shared" ref="C45:AB45" si="7">C19-C38</f>
        <v>134082</v>
      </c>
      <c r="D45">
        <f t="shared" si="7"/>
        <v>132425</v>
      </c>
      <c r="E45">
        <f t="shared" si="7"/>
        <v>134047</v>
      </c>
      <c r="F45">
        <f t="shared" si="7"/>
        <v>134047</v>
      </c>
      <c r="G45">
        <f t="shared" si="7"/>
        <v>140199</v>
      </c>
      <c r="H45">
        <f t="shared" si="7"/>
        <v>126878</v>
      </c>
      <c r="I45">
        <f t="shared" si="7"/>
        <v>114949</v>
      </c>
      <c r="J45">
        <f t="shared" si="7"/>
        <v>107147</v>
      </c>
      <c r="K45">
        <f t="shared" si="7"/>
        <v>107147</v>
      </c>
      <c r="L45">
        <f t="shared" si="7"/>
        <v>117892</v>
      </c>
      <c r="M45">
        <f t="shared" si="7"/>
        <v>105860</v>
      </c>
      <c r="N45">
        <f t="shared" si="7"/>
        <v>96456</v>
      </c>
      <c r="O45">
        <f t="shared" si="7"/>
        <v>90488</v>
      </c>
      <c r="P45">
        <f t="shared" si="7"/>
        <v>90488</v>
      </c>
      <c r="Q45">
        <f t="shared" si="7"/>
        <v>89531</v>
      </c>
      <c r="R45">
        <f t="shared" si="7"/>
        <v>78425</v>
      </c>
      <c r="S45">
        <f>S19-S38</f>
        <v>72282</v>
      </c>
      <c r="T45">
        <f t="shared" si="7"/>
        <v>65339</v>
      </c>
      <c r="U45">
        <f t="shared" si="7"/>
        <v>65339</v>
      </c>
      <c r="V45">
        <f t="shared" si="7"/>
        <v>66224</v>
      </c>
      <c r="W45">
        <f t="shared" si="7"/>
        <v>69178</v>
      </c>
      <c r="X45">
        <f t="shared" si="7"/>
        <v>64280</v>
      </c>
      <c r="Y45">
        <f t="shared" si="7"/>
        <v>63090</v>
      </c>
      <c r="Z45">
        <f t="shared" si="7"/>
        <v>63090</v>
      </c>
      <c r="AA45">
        <f t="shared" si="7"/>
        <v>71932</v>
      </c>
      <c r="AB45">
        <f t="shared" si="7"/>
        <v>67399</v>
      </c>
      <c r="AC45">
        <f>AC19-AC38</f>
        <v>58107</v>
      </c>
    </row>
    <row r="46" spans="1:29" x14ac:dyDescent="0.2">
      <c r="A46" t="s">
        <v>213</v>
      </c>
      <c r="B46">
        <f>B38+B45</f>
        <v>331141</v>
      </c>
      <c r="C46">
        <f t="shared" ref="C46:AC46" si="8">C38+C45</f>
        <v>334532</v>
      </c>
      <c r="D46">
        <f t="shared" si="8"/>
        <v>345173</v>
      </c>
      <c r="E46">
        <f t="shared" si="8"/>
        <v>375319</v>
      </c>
      <c r="F46">
        <f t="shared" si="8"/>
        <v>375319</v>
      </c>
      <c r="G46">
        <f t="shared" si="8"/>
        <v>406794</v>
      </c>
      <c r="H46">
        <f t="shared" si="8"/>
        <v>367502</v>
      </c>
      <c r="I46">
        <f t="shared" si="8"/>
        <v>349197</v>
      </c>
      <c r="J46">
        <f t="shared" si="8"/>
        <v>365725</v>
      </c>
      <c r="K46">
        <f t="shared" si="8"/>
        <v>365725</v>
      </c>
      <c r="L46">
        <f t="shared" si="8"/>
        <v>373719</v>
      </c>
      <c r="M46">
        <f t="shared" si="8"/>
        <v>341998</v>
      </c>
      <c r="N46">
        <f t="shared" si="8"/>
        <v>322239</v>
      </c>
      <c r="O46">
        <f t="shared" si="8"/>
        <v>338516</v>
      </c>
      <c r="P46">
        <f t="shared" si="8"/>
        <v>338516</v>
      </c>
      <c r="Q46">
        <f t="shared" si="8"/>
        <v>340618</v>
      </c>
      <c r="R46">
        <f t="shared" si="8"/>
        <v>320400</v>
      </c>
      <c r="S46">
        <f t="shared" si="8"/>
        <v>317344</v>
      </c>
      <c r="T46">
        <f t="shared" si="8"/>
        <v>323888</v>
      </c>
      <c r="U46">
        <f t="shared" si="8"/>
        <v>323888</v>
      </c>
      <c r="V46">
        <f t="shared" si="8"/>
        <v>354054</v>
      </c>
      <c r="W46">
        <f t="shared" si="8"/>
        <v>337158</v>
      </c>
      <c r="X46">
        <f t="shared" si="8"/>
        <v>329840</v>
      </c>
      <c r="Y46">
        <f t="shared" si="8"/>
        <v>351002</v>
      </c>
      <c r="Z46">
        <f t="shared" si="8"/>
        <v>351002</v>
      </c>
      <c r="AA46">
        <f t="shared" si="8"/>
        <v>381191</v>
      </c>
      <c r="AB46">
        <f t="shared" si="8"/>
        <v>350662</v>
      </c>
      <c r="AC46">
        <f t="shared" si="8"/>
        <v>336309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79DE3-5964-3645-8A03-11358C301A9A}">
  <sheetPr codeName="Sheet11"/>
  <dimension ref="A1:I175"/>
  <sheetViews>
    <sheetView topLeftCell="A139" workbookViewId="0">
      <selection activeCell="G160" sqref="G160:G164"/>
    </sheetView>
  </sheetViews>
  <sheetFormatPr baseColWidth="10" defaultRowHeight="16" x14ac:dyDescent="0.2"/>
  <cols>
    <col min="1" max="1" width="41" style="102" customWidth="1"/>
    <col min="2" max="3" width="10.83203125" style="102"/>
    <col min="4" max="4" width="14.1640625" style="102" customWidth="1"/>
    <col min="5" max="6" width="10.83203125" style="102"/>
    <col min="7" max="7" width="44.83203125" style="102" customWidth="1"/>
    <col min="8" max="8" width="18" style="102" customWidth="1"/>
    <col min="9" max="9" width="17.1640625" style="102" customWidth="1"/>
    <col min="10" max="16384" width="10.83203125" style="102"/>
  </cols>
  <sheetData>
    <row r="1" spans="1:9" s="102" customFormat="1" x14ac:dyDescent="0.2">
      <c r="G1" s="106" t="s">
        <v>67</v>
      </c>
      <c r="H1" s="106" t="s">
        <v>313</v>
      </c>
    </row>
    <row r="2" spans="1:9" s="102" customFormat="1" x14ac:dyDescent="0.2">
      <c r="G2" s="102" t="s">
        <v>314</v>
      </c>
    </row>
    <row r="3" spans="1:9" s="102" customFormat="1" x14ac:dyDescent="0.2">
      <c r="G3" s="102" t="s">
        <v>315</v>
      </c>
      <c r="H3" s="102">
        <v>39789</v>
      </c>
    </row>
    <row r="4" spans="1:9" s="102" customFormat="1" x14ac:dyDescent="0.2">
      <c r="D4" s="112"/>
      <c r="G4" s="102" t="s">
        <v>316</v>
      </c>
    </row>
    <row r="5" spans="1:9" s="102" customFormat="1" x14ac:dyDescent="0.2">
      <c r="G5" s="102" t="s">
        <v>240</v>
      </c>
      <c r="H5" s="102">
        <v>94680</v>
      </c>
    </row>
    <row r="6" spans="1:9" s="102" customFormat="1" x14ac:dyDescent="0.2">
      <c r="A6" s="109" t="s">
        <v>292</v>
      </c>
      <c r="B6" s="107">
        <v>2018</v>
      </c>
      <c r="C6" s="107">
        <v>2017</v>
      </c>
      <c r="D6" s="107"/>
      <c r="G6" s="102" t="s">
        <v>317</v>
      </c>
    </row>
    <row r="7" spans="1:9" s="102" customFormat="1" x14ac:dyDescent="0.2">
      <c r="A7" s="109" t="s">
        <v>293</v>
      </c>
      <c r="B7" s="108">
        <v>34940</v>
      </c>
      <c r="C7" s="108">
        <v>38016</v>
      </c>
      <c r="D7" s="111">
        <f>B7-C7</f>
        <v>-3076</v>
      </c>
      <c r="G7" s="102" t="s">
        <v>318</v>
      </c>
      <c r="H7" s="102">
        <v>11284</v>
      </c>
      <c r="I7" s="107"/>
    </row>
    <row r="8" spans="1:9" s="102" customFormat="1" x14ac:dyDescent="0.2">
      <c r="A8" s="109" t="s">
        <v>294</v>
      </c>
      <c r="B8" s="108">
        <v>27699</v>
      </c>
      <c r="C8" s="108">
        <v>52927</v>
      </c>
      <c r="D8" s="107">
        <f>C8-B8</f>
        <v>25228</v>
      </c>
      <c r="G8" s="102" t="s">
        <v>319</v>
      </c>
      <c r="H8" s="102">
        <v>7906</v>
      </c>
    </row>
    <row r="9" spans="1:9" s="102" customFormat="1" x14ac:dyDescent="0.2">
      <c r="A9" s="109" t="s">
        <v>295</v>
      </c>
      <c r="B9" s="108">
        <v>26278</v>
      </c>
      <c r="C9" s="108">
        <v>16120</v>
      </c>
      <c r="D9" s="107">
        <f>C9-B9</f>
        <v>-10158</v>
      </c>
      <c r="G9" s="102" t="s">
        <v>320</v>
      </c>
      <c r="H9" s="102">
        <v>-4774</v>
      </c>
    </row>
    <row r="10" spans="1:9" s="102" customFormat="1" x14ac:dyDescent="0.2">
      <c r="A10" s="109" t="s">
        <v>296</v>
      </c>
      <c r="B10" s="108">
        <v>6580</v>
      </c>
      <c r="C10" s="108">
        <v>4061</v>
      </c>
      <c r="D10" s="107">
        <f>C10-B10</f>
        <v>-2519</v>
      </c>
      <c r="G10" s="102" t="s">
        <v>321</v>
      </c>
      <c r="H10" s="102">
        <v>-147</v>
      </c>
    </row>
    <row r="11" spans="1:9" s="102" customFormat="1" x14ac:dyDescent="0.2">
      <c r="A11" s="109" t="s">
        <v>297</v>
      </c>
      <c r="B11" s="108">
        <v>25228</v>
      </c>
      <c r="C11" s="108">
        <v>21325</v>
      </c>
      <c r="D11" s="107">
        <f>C11-B11</f>
        <v>-3903</v>
      </c>
      <c r="G11" s="102" t="s">
        <v>322</v>
      </c>
    </row>
    <row r="12" spans="1:9" s="102" customFormat="1" x14ac:dyDescent="0.2">
      <c r="A12" s="109" t="s">
        <v>298</v>
      </c>
      <c r="B12" s="108">
        <v>14111</v>
      </c>
      <c r="C12" s="108">
        <v>11264</v>
      </c>
      <c r="D12" s="107">
        <f>C12-B12</f>
        <v>-2847</v>
      </c>
      <c r="G12" s="102" t="s">
        <v>295</v>
      </c>
      <c r="H12" s="102">
        <v>-10125</v>
      </c>
    </row>
    <row r="13" spans="1:9" s="102" customFormat="1" x14ac:dyDescent="0.2">
      <c r="A13" s="109" t="s">
        <v>299</v>
      </c>
      <c r="B13" s="108">
        <v>134836</v>
      </c>
      <c r="C13" s="108">
        <v>143713</v>
      </c>
      <c r="D13" s="107">
        <f>C13-B13</f>
        <v>8877</v>
      </c>
      <c r="G13" s="102" t="s">
        <v>296</v>
      </c>
      <c r="H13" s="102">
        <v>-2642</v>
      </c>
    </row>
    <row r="14" spans="1:9" s="102" customFormat="1" x14ac:dyDescent="0.2">
      <c r="A14" s="107"/>
      <c r="B14" s="107"/>
      <c r="D14" s="107">
        <f>C14-B14</f>
        <v>0</v>
      </c>
      <c r="G14" s="102" t="s">
        <v>297</v>
      </c>
      <c r="H14" s="102">
        <v>-3903</v>
      </c>
    </row>
    <row r="15" spans="1:9" s="102" customFormat="1" x14ac:dyDescent="0.2">
      <c r="A15" s="109" t="s">
        <v>300</v>
      </c>
      <c r="B15" s="107"/>
      <c r="D15" s="107">
        <f>C15-B15</f>
        <v>0</v>
      </c>
      <c r="G15" s="102" t="s">
        <v>323</v>
      </c>
      <c r="H15" s="102">
        <v>-8042</v>
      </c>
    </row>
    <row r="16" spans="1:9" s="102" customFormat="1" x14ac:dyDescent="0.2">
      <c r="A16" s="109" t="s">
        <v>294</v>
      </c>
      <c r="B16" s="108">
        <v>127877</v>
      </c>
      <c r="C16" s="108">
        <v>100887</v>
      </c>
      <c r="D16" s="107">
        <f>C16-B16</f>
        <v>-26990</v>
      </c>
      <c r="G16" s="102" t="s">
        <v>305</v>
      </c>
      <c r="H16" s="102">
        <v>12326</v>
      </c>
    </row>
    <row r="17" spans="1:9" s="102" customFormat="1" x14ac:dyDescent="0.2">
      <c r="A17" s="109" t="s">
        <v>260</v>
      </c>
      <c r="B17" s="108">
        <v>39440</v>
      </c>
      <c r="C17" s="108">
        <v>36766</v>
      </c>
      <c r="D17" s="107">
        <f>C17-B17</f>
        <v>-2674</v>
      </c>
      <c r="G17" s="102" t="s">
        <v>306</v>
      </c>
      <c r="H17" s="102">
        <v>1676</v>
      </c>
    </row>
    <row r="18" spans="1:9" s="102" customFormat="1" x14ac:dyDescent="0.2">
      <c r="A18" s="109" t="s">
        <v>258</v>
      </c>
      <c r="B18" s="108">
        <v>48849</v>
      </c>
      <c r="C18" s="108">
        <v>42522</v>
      </c>
      <c r="D18" s="107">
        <f>C18-B18</f>
        <v>-6327</v>
      </c>
      <c r="G18" s="102" t="s">
        <v>324</v>
      </c>
      <c r="H18" s="102">
        <v>5799</v>
      </c>
    </row>
    <row r="19" spans="1:9" s="102" customFormat="1" x14ac:dyDescent="0.2">
      <c r="A19" s="109" t="s">
        <v>301</v>
      </c>
      <c r="B19" s="108">
        <v>216166</v>
      </c>
      <c r="C19" s="108">
        <v>180175</v>
      </c>
      <c r="D19" s="107">
        <f>C19-B19</f>
        <v>-35991</v>
      </c>
      <c r="G19" s="102" t="s">
        <v>325</v>
      </c>
      <c r="H19" s="102">
        <v>104038</v>
      </c>
    </row>
    <row r="20" spans="1:9" s="102" customFormat="1" x14ac:dyDescent="0.2">
      <c r="A20" s="109" t="s">
        <v>302</v>
      </c>
      <c r="B20" s="108">
        <v>351002</v>
      </c>
      <c r="C20" s="108">
        <v>323888</v>
      </c>
      <c r="D20" s="107">
        <f>C20-B20</f>
        <v>-27114</v>
      </c>
      <c r="G20" s="102" t="s">
        <v>326</v>
      </c>
      <c r="I20" s="107"/>
    </row>
    <row r="21" spans="1:9" s="102" customFormat="1" x14ac:dyDescent="0.2">
      <c r="A21" s="107"/>
      <c r="B21" s="107"/>
      <c r="D21" s="107"/>
      <c r="G21" s="102" t="s">
        <v>327</v>
      </c>
      <c r="H21" s="102">
        <v>-109558</v>
      </c>
    </row>
    <row r="22" spans="1:9" s="102" customFormat="1" x14ac:dyDescent="0.2">
      <c r="A22" s="110" t="s">
        <v>303</v>
      </c>
      <c r="D22" s="107"/>
      <c r="G22" s="102" t="s">
        <v>328</v>
      </c>
      <c r="H22" s="102">
        <v>59023</v>
      </c>
    </row>
    <row r="23" spans="1:9" s="102" customFormat="1" x14ac:dyDescent="0.2">
      <c r="A23" s="109" t="s">
        <v>304</v>
      </c>
      <c r="B23" s="107"/>
      <c r="D23" s="107"/>
      <c r="G23" s="102" t="s">
        <v>329</v>
      </c>
      <c r="H23" s="102">
        <v>47460</v>
      </c>
    </row>
    <row r="24" spans="1:9" s="102" customFormat="1" x14ac:dyDescent="0.2">
      <c r="A24" s="109" t="s">
        <v>305</v>
      </c>
      <c r="B24" s="108">
        <v>54763</v>
      </c>
      <c r="C24" s="108">
        <v>42296</v>
      </c>
      <c r="D24" s="107">
        <f>C24-B24</f>
        <v>-12467</v>
      </c>
      <c r="G24" s="102" t="s">
        <v>330</v>
      </c>
      <c r="H24" s="102">
        <v>-11085</v>
      </c>
      <c r="I24" s="107"/>
    </row>
    <row r="25" spans="1:9" s="102" customFormat="1" x14ac:dyDescent="0.2">
      <c r="A25" s="109" t="s">
        <v>263</v>
      </c>
      <c r="B25" s="108">
        <v>47493</v>
      </c>
      <c r="C25" s="108">
        <v>42684</v>
      </c>
      <c r="D25" s="107">
        <f>C25-B25</f>
        <v>-4809</v>
      </c>
      <c r="G25" s="102" t="s">
        <v>331</v>
      </c>
      <c r="H25" s="102">
        <v>-33</v>
      </c>
    </row>
    <row r="26" spans="1:9" s="102" customFormat="1" x14ac:dyDescent="0.2">
      <c r="A26" s="109" t="s">
        <v>306</v>
      </c>
      <c r="B26" s="108">
        <v>7612</v>
      </c>
      <c r="C26" s="108">
        <v>6643</v>
      </c>
      <c r="D26" s="107">
        <f>C26-B26</f>
        <v>-969</v>
      </c>
      <c r="G26" s="102" t="s">
        <v>332</v>
      </c>
      <c r="H26" s="102">
        <v>-131</v>
      </c>
    </row>
    <row r="27" spans="1:9" s="102" customFormat="1" x14ac:dyDescent="0.2">
      <c r="A27" s="109" t="s">
        <v>307</v>
      </c>
      <c r="B27" s="108">
        <v>6000</v>
      </c>
      <c r="C27" s="108">
        <v>4996</v>
      </c>
      <c r="D27" s="107">
        <f>C27-B27</f>
        <v>-1004</v>
      </c>
      <c r="G27" s="102" t="s">
        <v>333</v>
      </c>
      <c r="H27" s="102">
        <v>387</v>
      </c>
    </row>
    <row r="28" spans="1:9" s="102" customFormat="1" x14ac:dyDescent="0.2">
      <c r="A28" s="109" t="s">
        <v>308</v>
      </c>
      <c r="B28" s="108">
        <v>9613</v>
      </c>
      <c r="C28" s="108">
        <v>8773</v>
      </c>
      <c r="D28" s="107">
        <f>C28-B28</f>
        <v>-840</v>
      </c>
      <c r="G28" s="102" t="s">
        <v>321</v>
      </c>
      <c r="H28" s="102">
        <v>-608</v>
      </c>
    </row>
    <row r="29" spans="1:9" s="102" customFormat="1" x14ac:dyDescent="0.2">
      <c r="A29" s="109" t="s">
        <v>309</v>
      </c>
      <c r="B29" s="108">
        <v>125481</v>
      </c>
      <c r="C29" s="108">
        <v>105392</v>
      </c>
      <c r="D29" s="107">
        <f>C29-B29</f>
        <v>-20089</v>
      </c>
      <c r="G29" s="102" t="s">
        <v>334</v>
      </c>
      <c r="H29" s="102">
        <v>-14545</v>
      </c>
    </row>
    <row r="30" spans="1:9" s="102" customFormat="1" x14ac:dyDescent="0.2">
      <c r="A30" s="107"/>
      <c r="B30" s="107"/>
      <c r="D30" s="107">
        <f>C30-B30</f>
        <v>0</v>
      </c>
      <c r="G30" s="102" t="s">
        <v>335</v>
      </c>
    </row>
    <row r="31" spans="1:9" s="102" customFormat="1" x14ac:dyDescent="0.2">
      <c r="A31" s="109" t="s">
        <v>310</v>
      </c>
      <c r="B31" s="107"/>
      <c r="D31" s="107">
        <f>C31-B31</f>
        <v>0</v>
      </c>
      <c r="G31" s="102" t="s">
        <v>336</v>
      </c>
      <c r="H31" s="102">
        <v>1105</v>
      </c>
    </row>
    <row r="32" spans="1:9" s="102" customFormat="1" x14ac:dyDescent="0.2">
      <c r="A32" s="109" t="s">
        <v>308</v>
      </c>
      <c r="B32" s="108">
        <v>109106</v>
      </c>
      <c r="C32" s="108">
        <v>98667</v>
      </c>
      <c r="D32" s="107">
        <f>C32-B32</f>
        <v>-10439</v>
      </c>
      <c r="G32" s="102" t="s">
        <v>337</v>
      </c>
      <c r="H32" s="102">
        <v>-6556</v>
      </c>
    </row>
    <row r="33" spans="1:9" s="102" customFormat="1" x14ac:dyDescent="0.2">
      <c r="A33" s="109" t="s">
        <v>264</v>
      </c>
      <c r="B33" s="108">
        <v>53325</v>
      </c>
      <c r="C33" s="108">
        <v>54490</v>
      </c>
      <c r="D33" s="107">
        <f>C33-B33</f>
        <v>1165</v>
      </c>
      <c r="G33" s="102" t="s">
        <v>338</v>
      </c>
      <c r="H33" s="102">
        <v>-14467</v>
      </c>
    </row>
    <row r="34" spans="1:9" s="102" customFormat="1" x14ac:dyDescent="0.2">
      <c r="A34" s="109" t="s">
        <v>311</v>
      </c>
      <c r="B34" s="108">
        <v>162431</v>
      </c>
      <c r="C34" s="108">
        <v>153157</v>
      </c>
      <c r="D34" s="107">
        <f>C34-B34</f>
        <v>-9274</v>
      </c>
      <c r="G34" s="102" t="s">
        <v>339</v>
      </c>
      <c r="H34" s="102">
        <v>-85971</v>
      </c>
    </row>
    <row r="35" spans="1:9" s="102" customFormat="1" x14ac:dyDescent="0.2">
      <c r="A35" s="109" t="s">
        <v>312</v>
      </c>
      <c r="B35" s="108">
        <v>287912</v>
      </c>
      <c r="C35" s="108">
        <v>258549</v>
      </c>
      <c r="D35" s="107">
        <f>C35-B35</f>
        <v>-29363</v>
      </c>
      <c r="G35" s="102" t="s">
        <v>340</v>
      </c>
      <c r="H35" s="102">
        <v>20393</v>
      </c>
    </row>
    <row r="36" spans="1:9" s="102" customFormat="1" x14ac:dyDescent="0.2">
      <c r="A36" s="107"/>
      <c r="B36" s="107"/>
      <c r="C36" s="107"/>
      <c r="G36" s="102" t="s">
        <v>341</v>
      </c>
      <c r="H36" s="102">
        <v>-8750</v>
      </c>
    </row>
    <row r="37" spans="1:9" s="102" customFormat="1" x14ac:dyDescent="0.2">
      <c r="G37" s="102" t="s">
        <v>342</v>
      </c>
      <c r="H37" s="102">
        <v>1022</v>
      </c>
    </row>
    <row r="38" spans="1:9" s="102" customFormat="1" x14ac:dyDescent="0.2">
      <c r="G38" s="102" t="s">
        <v>321</v>
      </c>
      <c r="H38" s="102">
        <v>-129</v>
      </c>
    </row>
    <row r="39" spans="1:9" s="102" customFormat="1" x14ac:dyDescent="0.2">
      <c r="G39" s="102" t="s">
        <v>343</v>
      </c>
      <c r="H39" s="102">
        <v>-93353</v>
      </c>
    </row>
    <row r="40" spans="1:9" s="102" customFormat="1" x14ac:dyDescent="0.2">
      <c r="G40" s="102" t="s">
        <v>344</v>
      </c>
      <c r="H40" s="102">
        <v>-3860</v>
      </c>
    </row>
    <row r="41" spans="1:9" s="102" customFormat="1" x14ac:dyDescent="0.2">
      <c r="G41" s="102" t="s">
        <v>345</v>
      </c>
      <c r="H41" s="102">
        <v>35929</v>
      </c>
    </row>
    <row r="42" spans="1:9" s="102" customFormat="1" x14ac:dyDescent="0.2">
      <c r="G42" s="102" t="s">
        <v>346</v>
      </c>
    </row>
    <row r="43" spans="1:9" s="102" customFormat="1" x14ac:dyDescent="0.2">
      <c r="G43" s="102" t="s">
        <v>347</v>
      </c>
      <c r="H43" s="102">
        <v>25385</v>
      </c>
    </row>
    <row r="44" spans="1:9" s="102" customFormat="1" x14ac:dyDescent="0.2">
      <c r="G44" s="102" t="s">
        <v>348</v>
      </c>
      <c r="H44" s="102">
        <v>2687</v>
      </c>
    </row>
    <row r="48" spans="1:9" s="102" customFormat="1" x14ac:dyDescent="0.2">
      <c r="A48" s="106" t="s">
        <v>67</v>
      </c>
      <c r="B48" s="106" t="s">
        <v>49</v>
      </c>
      <c r="C48" s="106" t="s">
        <v>46</v>
      </c>
      <c r="G48" s="106" t="s">
        <v>67</v>
      </c>
      <c r="H48" s="106" t="s">
        <v>49</v>
      </c>
      <c r="I48" s="106" t="s">
        <v>46</v>
      </c>
    </row>
    <row r="49" spans="1:9" s="102" customFormat="1" x14ac:dyDescent="0.2">
      <c r="A49" s="102" t="s">
        <v>185</v>
      </c>
      <c r="G49" s="102" t="s">
        <v>226</v>
      </c>
    </row>
    <row r="50" spans="1:9" s="102" customFormat="1" x14ac:dyDescent="0.2">
      <c r="A50" s="102" t="s">
        <v>141</v>
      </c>
      <c r="B50" s="102">
        <v>25913</v>
      </c>
      <c r="C50" s="102">
        <v>20289</v>
      </c>
      <c r="D50" s="102">
        <f>B50-C50</f>
        <v>5624</v>
      </c>
      <c r="E50" s="102">
        <f>H101</f>
        <v>5624</v>
      </c>
      <c r="G50" s="102" t="s">
        <v>39</v>
      </c>
      <c r="H50" s="102">
        <v>20289</v>
      </c>
      <c r="I50" s="102">
        <v>20484</v>
      </c>
    </row>
    <row r="51" spans="1:9" s="102" customFormat="1" x14ac:dyDescent="0.2">
      <c r="A51" s="102" t="s">
        <v>187</v>
      </c>
      <c r="B51" s="102">
        <v>40388</v>
      </c>
      <c r="C51" s="102">
        <v>53892</v>
      </c>
      <c r="D51" s="102">
        <f>C51-B51</f>
        <v>13504</v>
      </c>
      <c r="E51" s="102">
        <f>SUM(H71:H73)</f>
        <v>32363</v>
      </c>
    </row>
    <row r="52" spans="1:9" s="102" customFormat="1" x14ac:dyDescent="0.2">
      <c r="A52" s="102" t="s">
        <v>9</v>
      </c>
      <c r="B52" s="102">
        <v>23186</v>
      </c>
      <c r="C52" s="102">
        <v>17874</v>
      </c>
      <c r="D52" s="102">
        <f>C52-B52</f>
        <v>-5312</v>
      </c>
      <c r="E52" s="102">
        <f>H61</f>
        <v>-5322</v>
      </c>
      <c r="G52" s="102" t="s">
        <v>227</v>
      </c>
    </row>
    <row r="53" spans="1:9" s="102" customFormat="1" x14ac:dyDescent="0.2">
      <c r="A53" s="102" t="s">
        <v>10</v>
      </c>
      <c r="B53" s="102">
        <v>3956</v>
      </c>
      <c r="C53" s="102">
        <v>4855</v>
      </c>
      <c r="D53" s="102">
        <f>C53-B53</f>
        <v>899</v>
      </c>
      <c r="E53" s="102">
        <f>H62</f>
        <v>828</v>
      </c>
      <c r="G53" s="102" t="s">
        <v>0</v>
      </c>
      <c r="H53" s="102">
        <v>59531</v>
      </c>
      <c r="I53" s="102">
        <v>48351</v>
      </c>
    </row>
    <row r="54" spans="1:9" s="102" customFormat="1" x14ac:dyDescent="0.2">
      <c r="A54" s="102" t="s">
        <v>11</v>
      </c>
      <c r="B54" s="102">
        <v>25809</v>
      </c>
      <c r="C54" s="102">
        <v>17799</v>
      </c>
      <c r="D54" s="102">
        <f>C54-B54</f>
        <v>-8010</v>
      </c>
      <c r="E54" s="102">
        <f>H63</f>
        <v>-8010</v>
      </c>
    </row>
    <row r="55" spans="1:9" s="102" customFormat="1" x14ac:dyDescent="0.2">
      <c r="A55" s="102" t="s">
        <v>188</v>
      </c>
      <c r="B55" s="102">
        <v>12087</v>
      </c>
      <c r="C55" s="102">
        <v>13936</v>
      </c>
      <c r="D55" s="102">
        <f>C55-B55</f>
        <v>1849</v>
      </c>
      <c r="G55" s="102" t="s">
        <v>4</v>
      </c>
    </row>
    <row r="56" spans="1:9" s="102" customFormat="1" x14ac:dyDescent="0.2">
      <c r="A56" s="102" t="s">
        <v>189</v>
      </c>
      <c r="B56" s="102">
        <f>SUM(B50:B55)</f>
        <v>131339</v>
      </c>
      <c r="C56" s="102">
        <f>SUM(C50:C55)</f>
        <v>128645</v>
      </c>
      <c r="D56" s="102">
        <f>C56-B56</f>
        <v>-2694</v>
      </c>
      <c r="G56" s="102" t="s">
        <v>1</v>
      </c>
      <c r="H56" s="102">
        <v>10903</v>
      </c>
      <c r="I56" s="102">
        <v>10157</v>
      </c>
    </row>
    <row r="57" spans="1:9" s="102" customFormat="1" x14ac:dyDescent="0.2">
      <c r="D57" s="102">
        <f>B57-C57</f>
        <v>0</v>
      </c>
      <c r="G57" s="102" t="s">
        <v>5</v>
      </c>
      <c r="H57" s="102">
        <v>5340</v>
      </c>
      <c r="I57" s="102">
        <v>4840</v>
      </c>
    </row>
    <row r="58" spans="1:9" s="102" customFormat="1" x14ac:dyDescent="0.2">
      <c r="A58" s="102" t="s">
        <v>190</v>
      </c>
      <c r="D58" s="102">
        <f>B58-C58</f>
        <v>0</v>
      </c>
      <c r="G58" s="102" t="s">
        <v>6</v>
      </c>
      <c r="H58" s="102">
        <v>-32590</v>
      </c>
      <c r="I58" s="102">
        <v>5966</v>
      </c>
    </row>
    <row r="59" spans="1:9" s="102" customFormat="1" x14ac:dyDescent="0.2">
      <c r="A59" s="102" t="s">
        <v>187</v>
      </c>
      <c r="B59" s="102">
        <v>170799</v>
      </c>
      <c r="C59" s="102">
        <v>194714</v>
      </c>
      <c r="D59" s="102">
        <f>B59-C59</f>
        <v>-23915</v>
      </c>
      <c r="G59" s="102" t="s">
        <v>7</v>
      </c>
    </row>
    <row r="60" spans="1:9" s="102" customFormat="1" x14ac:dyDescent="0.2">
      <c r="A60" s="102" t="s">
        <v>191</v>
      </c>
      <c r="B60" s="102">
        <v>41304</v>
      </c>
      <c r="C60" s="102">
        <v>33783</v>
      </c>
      <c r="D60" s="102">
        <f>B60-C60</f>
        <v>7521</v>
      </c>
      <c r="G60" s="102" t="s">
        <v>8</v>
      </c>
      <c r="H60" s="102">
        <v>-444</v>
      </c>
      <c r="I60" s="102">
        <v>-166</v>
      </c>
    </row>
    <row r="61" spans="1:9" s="102" customFormat="1" x14ac:dyDescent="0.2">
      <c r="A61" s="102" t="s">
        <v>192</v>
      </c>
      <c r="C61" s="102">
        <v>5717</v>
      </c>
      <c r="D61" s="102">
        <f>B61-C61</f>
        <v>-5717</v>
      </c>
      <c r="G61" s="103" t="s">
        <v>9</v>
      </c>
      <c r="H61" s="102">
        <v>-5322</v>
      </c>
      <c r="I61" s="102">
        <v>-2093</v>
      </c>
    </row>
    <row r="62" spans="1:9" s="102" customFormat="1" x14ac:dyDescent="0.2">
      <c r="A62" s="102" t="s">
        <v>193</v>
      </c>
      <c r="C62" s="102">
        <v>2298</v>
      </c>
      <c r="D62" s="102">
        <f>B62-C62</f>
        <v>-2298</v>
      </c>
      <c r="G62" s="103" t="s">
        <v>10</v>
      </c>
      <c r="H62" s="102">
        <v>828</v>
      </c>
      <c r="I62" s="102">
        <v>-2723</v>
      </c>
    </row>
    <row r="63" spans="1:9" s="102" customFormat="1" x14ac:dyDescent="0.2">
      <c r="A63" s="102" t="s">
        <v>194</v>
      </c>
      <c r="B63" s="102">
        <v>22283</v>
      </c>
      <c r="C63" s="102">
        <v>10162</v>
      </c>
      <c r="D63" s="102">
        <f>B63-C63</f>
        <v>12121</v>
      </c>
      <c r="G63" s="103" t="s">
        <v>11</v>
      </c>
      <c r="H63" s="102">
        <v>-8010</v>
      </c>
      <c r="I63" s="102">
        <v>-4254</v>
      </c>
    </row>
    <row r="64" spans="1:9" s="102" customFormat="1" x14ac:dyDescent="0.2">
      <c r="A64" s="102" t="s">
        <v>195</v>
      </c>
      <c r="B64" s="102">
        <v>234386</v>
      </c>
      <c r="C64" s="102">
        <f>SUM(C59:C63)</f>
        <v>246674</v>
      </c>
      <c r="D64" s="102">
        <f>B64-C64</f>
        <v>-12288</v>
      </c>
      <c r="G64" s="102" t="s">
        <v>12</v>
      </c>
      <c r="H64" s="102">
        <v>-423</v>
      </c>
      <c r="I64" s="102">
        <v>-5318</v>
      </c>
    </row>
    <row r="65" spans="1:9" s="102" customFormat="1" x14ac:dyDescent="0.2">
      <c r="D65" s="102">
        <f>B65-C65</f>
        <v>0</v>
      </c>
      <c r="G65" s="102" t="s">
        <v>13</v>
      </c>
      <c r="H65" s="102">
        <v>9175</v>
      </c>
      <c r="I65" s="102">
        <v>9618</v>
      </c>
    </row>
    <row r="66" spans="1:9" s="102" customFormat="1" x14ac:dyDescent="0.2">
      <c r="A66" s="102" t="s">
        <v>196</v>
      </c>
      <c r="B66" s="102">
        <f>B56+B64</f>
        <v>365725</v>
      </c>
      <c r="C66" s="102">
        <f>C56+C64</f>
        <v>375319</v>
      </c>
      <c r="D66" s="102">
        <f>B66-C66</f>
        <v>-9594</v>
      </c>
      <c r="G66" s="102" t="s">
        <v>14</v>
      </c>
      <c r="H66" s="102">
        <v>-44</v>
      </c>
      <c r="I66" s="102">
        <v>-626</v>
      </c>
    </row>
    <row r="67" spans="1:9" s="102" customFormat="1" x14ac:dyDescent="0.2">
      <c r="D67" s="102">
        <f>B67-C67</f>
        <v>0</v>
      </c>
      <c r="G67" s="102" t="s">
        <v>15</v>
      </c>
      <c r="H67" s="102">
        <v>38490</v>
      </c>
      <c r="I67" s="102">
        <v>-154</v>
      </c>
    </row>
    <row r="68" spans="1:9" s="102" customFormat="1" x14ac:dyDescent="0.2">
      <c r="A68" s="102" t="s">
        <v>197</v>
      </c>
      <c r="D68" s="102">
        <f>B68-C68</f>
        <v>0</v>
      </c>
      <c r="G68" s="102" t="s">
        <v>16</v>
      </c>
      <c r="H68" s="102">
        <f>SUM(H53:H67)</f>
        <v>77434</v>
      </c>
      <c r="I68" s="102">
        <f>SUM(I53:I67)</f>
        <v>63598</v>
      </c>
    </row>
    <row r="69" spans="1:9" s="102" customFormat="1" x14ac:dyDescent="0.2">
      <c r="A69" s="102" t="s">
        <v>13</v>
      </c>
      <c r="B69" s="102">
        <v>55888</v>
      </c>
      <c r="C69" s="102">
        <v>49049</v>
      </c>
      <c r="D69" s="102">
        <f>B69-C69</f>
        <v>6839</v>
      </c>
    </row>
    <row r="70" spans="1:9" s="102" customFormat="1" x14ac:dyDescent="0.2">
      <c r="A70" s="102" t="s">
        <v>198</v>
      </c>
      <c r="C70" s="102">
        <v>25744</v>
      </c>
      <c r="D70" s="102">
        <f>B70-C70</f>
        <v>-25744</v>
      </c>
      <c r="G70" s="102" t="s">
        <v>18</v>
      </c>
    </row>
    <row r="71" spans="1:9" s="102" customFormat="1" x14ac:dyDescent="0.2">
      <c r="A71" s="102" t="s">
        <v>14</v>
      </c>
      <c r="B71" s="102">
        <v>7543</v>
      </c>
      <c r="C71" s="102">
        <v>7548</v>
      </c>
      <c r="D71" s="102">
        <f>B71-C71</f>
        <v>-5</v>
      </c>
      <c r="G71" s="103" t="s">
        <v>19</v>
      </c>
      <c r="H71" s="102">
        <v>-71356</v>
      </c>
      <c r="I71" s="102">
        <v>-159486</v>
      </c>
    </row>
    <row r="72" spans="1:9" s="102" customFormat="1" x14ac:dyDescent="0.2">
      <c r="A72" s="102" t="s">
        <v>199</v>
      </c>
      <c r="B72" s="102">
        <v>11964</v>
      </c>
      <c r="C72" s="102">
        <v>11977</v>
      </c>
      <c r="D72" s="102">
        <f>B72-C72</f>
        <v>-13</v>
      </c>
      <c r="G72" s="103" t="s">
        <v>20</v>
      </c>
      <c r="H72" s="102">
        <v>55881</v>
      </c>
      <c r="I72" s="102">
        <v>31775</v>
      </c>
    </row>
    <row r="73" spans="1:9" s="102" customFormat="1" x14ac:dyDescent="0.2">
      <c r="A73" s="102" t="s">
        <v>139</v>
      </c>
      <c r="B73" s="102">
        <v>8784</v>
      </c>
      <c r="C73" s="102">
        <v>6496</v>
      </c>
      <c r="D73" s="102">
        <f>B73-C73</f>
        <v>2288</v>
      </c>
      <c r="G73" s="103" t="s">
        <v>21</v>
      </c>
      <c r="H73" s="102">
        <v>47838</v>
      </c>
      <c r="I73" s="102">
        <v>94564</v>
      </c>
    </row>
    <row r="74" spans="1:9" s="102" customFormat="1" x14ac:dyDescent="0.2">
      <c r="A74" s="102" t="s">
        <v>200</v>
      </c>
      <c r="B74" s="102">
        <v>32687</v>
      </c>
      <c r="D74" s="102">
        <f>B74-C74</f>
        <v>32687</v>
      </c>
      <c r="G74" s="102" t="s">
        <v>22</v>
      </c>
      <c r="I74" s="102">
        <v>-329</v>
      </c>
    </row>
    <row r="75" spans="1:9" s="102" customFormat="1" x14ac:dyDescent="0.2">
      <c r="A75" s="102" t="s">
        <v>201</v>
      </c>
      <c r="B75" s="102">
        <f>SUM(B69:B74)</f>
        <v>116866</v>
      </c>
      <c r="C75" s="102">
        <f>SUM(C69:C74)</f>
        <v>100814</v>
      </c>
      <c r="D75" s="102">
        <f>B75-C75</f>
        <v>16052</v>
      </c>
      <c r="G75" s="102" t="s">
        <v>17</v>
      </c>
      <c r="H75" s="102">
        <v>-13313</v>
      </c>
      <c r="I75" s="102">
        <v>-12451</v>
      </c>
    </row>
    <row r="76" spans="1:9" s="102" customFormat="1" x14ac:dyDescent="0.2">
      <c r="D76" s="102">
        <f>B76-C76</f>
        <v>0</v>
      </c>
      <c r="G76" s="102" t="s">
        <v>22</v>
      </c>
      <c r="H76" s="102">
        <v>-721</v>
      </c>
    </row>
    <row r="77" spans="1:9" s="102" customFormat="1" x14ac:dyDescent="0.2">
      <c r="D77" s="102">
        <f>B77-C77</f>
        <v>0</v>
      </c>
      <c r="G77" s="102" t="s">
        <v>23</v>
      </c>
      <c r="H77" s="102">
        <v>-1871</v>
      </c>
    </row>
    <row r="78" spans="1:9" s="102" customFormat="1" x14ac:dyDescent="0.2">
      <c r="A78" s="102" t="s">
        <v>202</v>
      </c>
      <c r="D78" s="102">
        <f>B78-C78</f>
        <v>0</v>
      </c>
      <c r="G78" s="102" t="s">
        <v>24</v>
      </c>
      <c r="I78" s="102">
        <v>-344</v>
      </c>
    </row>
    <row r="79" spans="1:9" s="102" customFormat="1" x14ac:dyDescent="0.2">
      <c r="A79" s="102" t="s">
        <v>14</v>
      </c>
      <c r="B79" s="102">
        <v>2797</v>
      </c>
      <c r="C79" s="102">
        <v>2836</v>
      </c>
      <c r="D79" s="102">
        <f>B79-C79</f>
        <v>-39</v>
      </c>
      <c r="G79" s="102" t="s">
        <v>8</v>
      </c>
      <c r="H79" s="102">
        <v>-745</v>
      </c>
      <c r="I79" s="102">
        <v>220</v>
      </c>
    </row>
    <row r="80" spans="1:9" s="102" customFormat="1" x14ac:dyDescent="0.2">
      <c r="A80" s="102" t="s">
        <v>140</v>
      </c>
      <c r="B80" s="102">
        <v>93735</v>
      </c>
      <c r="C80" s="102">
        <v>97207</v>
      </c>
      <c r="D80" s="102">
        <f>B80-C80</f>
        <v>-3472</v>
      </c>
      <c r="G80" s="102" t="s">
        <v>25</v>
      </c>
      <c r="H80" s="102">
        <v>353</v>
      </c>
    </row>
    <row r="81" spans="1:9" s="102" customFormat="1" x14ac:dyDescent="0.2">
      <c r="A81" s="102" t="s">
        <v>203</v>
      </c>
      <c r="B81" s="102">
        <v>45180</v>
      </c>
      <c r="C81" s="102">
        <v>40415</v>
      </c>
      <c r="D81" s="102">
        <f>B81-C81</f>
        <v>4765</v>
      </c>
      <c r="G81" s="102" t="s">
        <v>26</v>
      </c>
      <c r="I81" s="102">
        <v>-395</v>
      </c>
    </row>
    <row r="82" spans="1:9" s="102" customFormat="1" x14ac:dyDescent="0.2">
      <c r="A82" s="102" t="s">
        <v>204</v>
      </c>
      <c r="B82" s="102">
        <f>SUM(B79:B81)</f>
        <v>141712</v>
      </c>
      <c r="C82" s="102">
        <f>SUM(C79:C81)</f>
        <v>140458</v>
      </c>
      <c r="D82" s="102">
        <f>B82-C82</f>
        <v>1254</v>
      </c>
      <c r="G82" s="102" t="s">
        <v>27</v>
      </c>
    </row>
    <row r="83" spans="1:9" s="102" customFormat="1" x14ac:dyDescent="0.2">
      <c r="D83" s="102">
        <f>B83-C83</f>
        <v>0</v>
      </c>
      <c r="G83" s="102" t="s">
        <v>228</v>
      </c>
    </row>
    <row r="84" spans="1:9" s="102" customFormat="1" x14ac:dyDescent="0.2">
      <c r="D84" s="102">
        <f>B84-C84</f>
        <v>0</v>
      </c>
      <c r="G84" s="102" t="s">
        <v>28</v>
      </c>
      <c r="H84" s="102">
        <f>SUM(H71:H83)</f>
        <v>16066</v>
      </c>
      <c r="I84" s="102">
        <f>SUM(I71:I83)</f>
        <v>-46446</v>
      </c>
    </row>
    <row r="85" spans="1:9" s="102" customFormat="1" x14ac:dyDescent="0.2">
      <c r="A85" s="102" t="s">
        <v>205</v>
      </c>
      <c r="B85" s="102">
        <f>B75+B82</f>
        <v>258578</v>
      </c>
      <c r="C85" s="102">
        <f>C75+C82</f>
        <v>241272</v>
      </c>
      <c r="D85" s="102">
        <f>B85-C85</f>
        <v>17306</v>
      </c>
    </row>
    <row r="86" spans="1:9" s="102" customFormat="1" x14ac:dyDescent="0.2">
      <c r="D86" s="102">
        <f>B86-C86</f>
        <v>0</v>
      </c>
      <c r="G86" s="102" t="s">
        <v>29</v>
      </c>
      <c r="H86" s="102">
        <v>-2527</v>
      </c>
      <c r="I86" s="102">
        <v>-1874</v>
      </c>
    </row>
    <row r="87" spans="1:9" s="102" customFormat="1" x14ac:dyDescent="0.2">
      <c r="A87" s="102" t="s">
        <v>206</v>
      </c>
      <c r="B87" s="102" t="s">
        <v>207</v>
      </c>
      <c r="C87" s="102" t="s">
        <v>207</v>
      </c>
      <c r="G87" s="102" t="s">
        <v>30</v>
      </c>
      <c r="H87" s="102">
        <v>-13712</v>
      </c>
      <c r="I87" s="102">
        <v>-12769</v>
      </c>
    </row>
    <row r="88" spans="1:9" s="102" customFormat="1" x14ac:dyDescent="0.2">
      <c r="A88" s="102" t="s">
        <v>208</v>
      </c>
      <c r="D88" s="102">
        <f>B88-C88</f>
        <v>0</v>
      </c>
      <c r="G88" s="102" t="s">
        <v>31</v>
      </c>
      <c r="H88" s="102">
        <v>669</v>
      </c>
      <c r="I88" s="102">
        <v>555</v>
      </c>
    </row>
    <row r="89" spans="1:9" s="102" customFormat="1" x14ac:dyDescent="0.2">
      <c r="A89" s="102" t="s">
        <v>209</v>
      </c>
      <c r="B89" s="102">
        <v>40201</v>
      </c>
      <c r="C89" s="102">
        <v>35867</v>
      </c>
      <c r="D89" s="102">
        <f>B89-C89</f>
        <v>4334</v>
      </c>
      <c r="G89" s="102" t="s">
        <v>32</v>
      </c>
      <c r="H89" s="102">
        <v>-72738</v>
      </c>
      <c r="I89" s="102">
        <v>-32900</v>
      </c>
    </row>
    <row r="90" spans="1:9" s="102" customFormat="1" x14ac:dyDescent="0.2">
      <c r="A90" s="102" t="s">
        <v>210</v>
      </c>
      <c r="B90" s="102">
        <v>70400</v>
      </c>
      <c r="C90" s="102">
        <v>98330</v>
      </c>
      <c r="D90" s="102">
        <f>B90-C90</f>
        <v>-27930</v>
      </c>
      <c r="G90" s="102" t="s">
        <v>33</v>
      </c>
      <c r="I90" s="102">
        <v>627</v>
      </c>
    </row>
    <row r="91" spans="1:9" s="102" customFormat="1" x14ac:dyDescent="0.2">
      <c r="A91" s="102" t="s">
        <v>211</v>
      </c>
      <c r="B91" s="102">
        <v>-3454</v>
      </c>
      <c r="C91" s="102">
        <v>-150</v>
      </c>
      <c r="D91" s="102">
        <f>B91-C91</f>
        <v>-3304</v>
      </c>
      <c r="G91" s="102" t="s">
        <v>34</v>
      </c>
      <c r="H91" s="102">
        <v>6969</v>
      </c>
      <c r="I91" s="102">
        <v>28662</v>
      </c>
    </row>
    <row r="92" spans="1:9" s="102" customFormat="1" x14ac:dyDescent="0.2">
      <c r="A92" s="102" t="s">
        <v>212</v>
      </c>
      <c r="B92" s="102">
        <f>B66-B85</f>
        <v>107147</v>
      </c>
      <c r="C92" s="102">
        <f>C66-C85</f>
        <v>134047</v>
      </c>
      <c r="D92" s="102">
        <f>B92-C92</f>
        <v>-26900</v>
      </c>
      <c r="G92" s="102" t="s">
        <v>35</v>
      </c>
      <c r="H92" s="102">
        <v>-6500</v>
      </c>
      <c r="I92" s="102">
        <v>-3500</v>
      </c>
    </row>
    <row r="93" spans="1:9" s="102" customFormat="1" x14ac:dyDescent="0.2">
      <c r="A93" s="102" t="s">
        <v>213</v>
      </c>
      <c r="B93" s="102">
        <f>B85+B92</f>
        <v>365725</v>
      </c>
      <c r="C93" s="102">
        <f>C85+C92</f>
        <v>375319</v>
      </c>
      <c r="D93" s="102">
        <f>B93-C93</f>
        <v>-9594</v>
      </c>
      <c r="G93" s="102" t="s">
        <v>36</v>
      </c>
    </row>
    <row r="94" spans="1:9" s="102" customFormat="1" x14ac:dyDescent="0.2">
      <c r="G94" s="102" t="s">
        <v>37</v>
      </c>
      <c r="H94" s="102">
        <v>-37</v>
      </c>
      <c r="I94" s="102">
        <v>3852</v>
      </c>
    </row>
    <row r="95" spans="1:9" s="102" customFormat="1" x14ac:dyDescent="0.2">
      <c r="G95" s="102" t="s">
        <v>8</v>
      </c>
    </row>
    <row r="96" spans="1:9" s="102" customFormat="1" x14ac:dyDescent="0.2">
      <c r="G96" s="102" t="s">
        <v>41</v>
      </c>
    </row>
    <row r="97" spans="7:9" s="102" customFormat="1" x14ac:dyDescent="0.2">
      <c r="G97" s="102" t="s">
        <v>42</v>
      </c>
    </row>
    <row r="98" spans="7:9" s="102" customFormat="1" x14ac:dyDescent="0.2">
      <c r="G98" s="102" t="s">
        <v>43</v>
      </c>
    </row>
    <row r="99" spans="7:9" s="102" customFormat="1" x14ac:dyDescent="0.2">
      <c r="G99" s="102" t="s">
        <v>38</v>
      </c>
      <c r="H99" s="102">
        <v>-87876</v>
      </c>
      <c r="I99" s="102">
        <v>-17347</v>
      </c>
    </row>
    <row r="101" spans="7:9" s="102" customFormat="1" x14ac:dyDescent="0.2">
      <c r="G101" s="102" t="s">
        <v>151</v>
      </c>
      <c r="H101" s="102">
        <f>H68+H84+H99</f>
        <v>5624</v>
      </c>
      <c r="I101" s="102">
        <f>I68+I84+I99</f>
        <v>-195</v>
      </c>
    </row>
    <row r="105" spans="7:9" s="102" customFormat="1" x14ac:dyDescent="0.2">
      <c r="G105" s="102" t="s">
        <v>40</v>
      </c>
      <c r="H105" s="102">
        <v>25913</v>
      </c>
      <c r="I105" s="102">
        <v>20289</v>
      </c>
    </row>
    <row r="108" spans="7:9" s="102" customFormat="1" x14ac:dyDescent="0.2">
      <c r="G108" s="102" t="s">
        <v>229</v>
      </c>
    </row>
    <row r="109" spans="7:9" s="102" customFormat="1" x14ac:dyDescent="0.2">
      <c r="G109" s="102" t="s">
        <v>2</v>
      </c>
      <c r="H109" s="102">
        <v>10417</v>
      </c>
      <c r="I109" s="102">
        <v>11591</v>
      </c>
    </row>
    <row r="110" spans="7:9" s="102" customFormat="1" x14ac:dyDescent="0.2">
      <c r="G110" s="102" t="s">
        <v>3</v>
      </c>
      <c r="H110" s="102">
        <v>3022</v>
      </c>
      <c r="I110" s="102">
        <v>2092</v>
      </c>
    </row>
    <row r="122" spans="1:9" s="102" customFormat="1" x14ac:dyDescent="0.2">
      <c r="A122" s="106" t="s">
        <v>67</v>
      </c>
      <c r="B122" s="106" t="s">
        <v>49</v>
      </c>
      <c r="C122" s="106" t="s">
        <v>46</v>
      </c>
    </row>
    <row r="123" spans="1:9" s="102" customFormat="1" x14ac:dyDescent="0.2">
      <c r="A123" s="105" t="s">
        <v>185</v>
      </c>
      <c r="B123" s="105"/>
      <c r="C123" s="105"/>
      <c r="G123" s="106" t="s">
        <v>67</v>
      </c>
      <c r="H123" s="106" t="s">
        <v>49</v>
      </c>
      <c r="I123" s="106"/>
    </row>
    <row r="124" spans="1:9" s="102" customFormat="1" x14ac:dyDescent="0.2">
      <c r="D124" s="102" t="s">
        <v>353</v>
      </c>
      <c r="E124" s="102" t="s">
        <v>354</v>
      </c>
      <c r="G124" s="102" t="s">
        <v>226</v>
      </c>
    </row>
    <row r="125" spans="1:9" s="102" customFormat="1" x14ac:dyDescent="0.2">
      <c r="A125" s="102" t="s">
        <v>267</v>
      </c>
      <c r="B125" s="102">
        <v>40388</v>
      </c>
      <c r="C125" s="102">
        <v>53892</v>
      </c>
      <c r="D125" s="102">
        <f>C125-B125</f>
        <v>13504</v>
      </c>
      <c r="G125" s="102" t="s">
        <v>39</v>
      </c>
      <c r="H125" s="102">
        <v>20289</v>
      </c>
    </row>
    <row r="126" spans="1:9" s="102" customFormat="1" x14ac:dyDescent="0.2">
      <c r="A126" s="102" t="s">
        <v>266</v>
      </c>
      <c r="B126" s="102">
        <v>170799</v>
      </c>
      <c r="C126" s="102">
        <v>194714</v>
      </c>
      <c r="D126" s="102">
        <f>C126-B126</f>
        <v>23915</v>
      </c>
    </row>
    <row r="127" spans="1:9" s="102" customFormat="1" x14ac:dyDescent="0.2">
      <c r="A127" s="104" t="s">
        <v>113</v>
      </c>
      <c r="B127" s="104">
        <f>SUM(B125:B126)</f>
        <v>211187</v>
      </c>
      <c r="C127" s="104">
        <f>SUM(C125:C126)</f>
        <v>248606</v>
      </c>
      <c r="D127" s="102">
        <f>C127-B127</f>
        <v>37419</v>
      </c>
      <c r="E127" s="102">
        <f>SUM(H145:H147)</f>
        <v>32363</v>
      </c>
      <c r="G127" s="102" t="s">
        <v>227</v>
      </c>
    </row>
    <row r="128" spans="1:9" s="102" customFormat="1" x14ac:dyDescent="0.2">
      <c r="A128" s="102" t="s">
        <v>141</v>
      </c>
      <c r="B128" s="102">
        <v>25913</v>
      </c>
      <c r="C128" s="102">
        <v>20289</v>
      </c>
      <c r="D128" s="102">
        <f>B128-C128</f>
        <v>5624</v>
      </c>
      <c r="E128" s="102">
        <f>H166</f>
        <v>5624</v>
      </c>
      <c r="G128" s="102" t="s">
        <v>0</v>
      </c>
      <c r="H128" s="102">
        <v>59531</v>
      </c>
    </row>
    <row r="130" spans="1:8" s="102" customFormat="1" x14ac:dyDescent="0.2">
      <c r="A130" s="102" t="s">
        <v>9</v>
      </c>
      <c r="B130" s="102">
        <v>23186</v>
      </c>
      <c r="C130" s="102">
        <v>17874</v>
      </c>
      <c r="D130" s="102">
        <f>C130-B130</f>
        <v>-5312</v>
      </c>
      <c r="E130" s="102">
        <f>H135</f>
        <v>-5322</v>
      </c>
      <c r="G130" s="102" t="s">
        <v>4</v>
      </c>
    </row>
    <row r="131" spans="1:8" s="102" customFormat="1" x14ac:dyDescent="0.2">
      <c r="A131" s="102" t="s">
        <v>11</v>
      </c>
      <c r="B131" s="102">
        <v>25809</v>
      </c>
      <c r="C131" s="102">
        <v>17799</v>
      </c>
      <c r="D131" s="102">
        <f>C131-B131</f>
        <v>-8010</v>
      </c>
      <c r="E131" s="102">
        <f>H137</f>
        <v>-8010</v>
      </c>
      <c r="G131" s="103" t="s">
        <v>1</v>
      </c>
      <c r="H131" s="102">
        <v>10903</v>
      </c>
    </row>
    <row r="132" spans="1:8" s="102" customFormat="1" x14ac:dyDescent="0.2">
      <c r="G132" s="102" t="s">
        <v>5</v>
      </c>
      <c r="H132" s="102">
        <v>5340</v>
      </c>
    </row>
    <row r="133" spans="1:8" s="102" customFormat="1" x14ac:dyDescent="0.2">
      <c r="A133" s="102" t="s">
        <v>10</v>
      </c>
      <c r="B133" s="102">
        <v>3956</v>
      </c>
      <c r="C133" s="102">
        <v>4855</v>
      </c>
      <c r="D133" s="102">
        <f>C133-B133</f>
        <v>899</v>
      </c>
      <c r="E133" s="102">
        <f>H136</f>
        <v>828</v>
      </c>
      <c r="G133" s="102" t="s">
        <v>6</v>
      </c>
      <c r="H133" s="102">
        <v>-32590</v>
      </c>
    </row>
    <row r="134" spans="1:8" s="102" customFormat="1" x14ac:dyDescent="0.2">
      <c r="G134" s="103" t="s">
        <v>8</v>
      </c>
      <c r="H134" s="102">
        <v>-444</v>
      </c>
    </row>
    <row r="135" spans="1:8" s="102" customFormat="1" x14ac:dyDescent="0.2">
      <c r="A135" s="102" t="s">
        <v>251</v>
      </c>
      <c r="B135" s="102">
        <v>90403</v>
      </c>
      <c r="C135" s="102">
        <v>75076</v>
      </c>
      <c r="D135" s="102">
        <v>-15327</v>
      </c>
      <c r="E135" s="102">
        <f>H148</f>
        <v>-13313</v>
      </c>
      <c r="G135" s="103" t="s">
        <v>9</v>
      </c>
      <c r="H135" s="102">
        <v>-5322</v>
      </c>
    </row>
    <row r="136" spans="1:8" s="102" customFormat="1" x14ac:dyDescent="0.2">
      <c r="A136" s="102" t="s">
        <v>252</v>
      </c>
      <c r="B136" s="102">
        <v>-49099</v>
      </c>
      <c r="C136" s="102">
        <v>-41293</v>
      </c>
      <c r="D136" s="102">
        <f>C136-B136</f>
        <v>7806</v>
      </c>
      <c r="E136" s="102">
        <f>H131</f>
        <v>10903</v>
      </c>
      <c r="G136" s="103" t="s">
        <v>10</v>
      </c>
      <c r="H136" s="102">
        <v>828</v>
      </c>
    </row>
    <row r="137" spans="1:8" s="102" customFormat="1" x14ac:dyDescent="0.2">
      <c r="A137" s="104" t="s">
        <v>253</v>
      </c>
      <c r="B137" s="104">
        <v>41304</v>
      </c>
      <c r="C137" s="104">
        <v>33783</v>
      </c>
      <c r="D137" s="102">
        <f>C137-B137</f>
        <v>-7521</v>
      </c>
      <c r="E137" s="102">
        <f>E135-E136</f>
        <v>-24216</v>
      </c>
      <c r="G137" s="103" t="s">
        <v>11</v>
      </c>
      <c r="H137" s="102">
        <v>-8010</v>
      </c>
    </row>
    <row r="138" spans="1:8" s="102" customFormat="1" x14ac:dyDescent="0.2">
      <c r="G138" s="103" t="s">
        <v>12</v>
      </c>
      <c r="H138" s="102">
        <v>-423</v>
      </c>
    </row>
    <row r="139" spans="1:8" s="102" customFormat="1" x14ac:dyDescent="0.2">
      <c r="A139" s="102" t="s">
        <v>188</v>
      </c>
      <c r="B139" s="102">
        <v>12087</v>
      </c>
      <c r="C139" s="102">
        <v>13936</v>
      </c>
      <c r="D139" s="102">
        <f>C139-B139</f>
        <v>1849</v>
      </c>
      <c r="G139" s="103" t="s">
        <v>13</v>
      </c>
      <c r="H139" s="102">
        <v>9175</v>
      </c>
    </row>
    <row r="140" spans="1:8" s="102" customFormat="1" x14ac:dyDescent="0.2">
      <c r="A140" s="102" t="s">
        <v>194</v>
      </c>
      <c r="B140" s="102">
        <v>22283</v>
      </c>
      <c r="C140" s="102">
        <v>10162</v>
      </c>
      <c r="D140" s="102">
        <f>C140-B140</f>
        <v>-12121</v>
      </c>
      <c r="G140" s="103" t="s">
        <v>14</v>
      </c>
      <c r="H140" s="102">
        <v>-44</v>
      </c>
    </row>
    <row r="141" spans="1:8" s="102" customFormat="1" x14ac:dyDescent="0.2">
      <c r="A141" s="104" t="s">
        <v>349</v>
      </c>
      <c r="B141" s="104">
        <f>SUM(B139:B140)</f>
        <v>34370</v>
      </c>
      <c r="C141" s="104">
        <f>SUM(C139:C140)</f>
        <v>24098</v>
      </c>
      <c r="D141" s="102">
        <f>C141-B141</f>
        <v>-10272</v>
      </c>
      <c r="G141" s="103" t="s">
        <v>15</v>
      </c>
      <c r="H141" s="102">
        <v>38490</v>
      </c>
    </row>
    <row r="142" spans="1:8" s="102" customFormat="1" x14ac:dyDescent="0.2">
      <c r="A142" s="102" t="s">
        <v>268</v>
      </c>
      <c r="B142" s="102">
        <v>0</v>
      </c>
      <c r="C142" s="102">
        <v>8015</v>
      </c>
      <c r="D142" s="102">
        <f>C142-B142</f>
        <v>8015</v>
      </c>
      <c r="G142" s="102" t="s">
        <v>16</v>
      </c>
      <c r="H142" s="102">
        <f>SUM(H128:H141)</f>
        <v>77434</v>
      </c>
    </row>
    <row r="143" spans="1:8" s="102" customFormat="1" x14ac:dyDescent="0.2">
      <c r="A143" s="104" t="s">
        <v>350</v>
      </c>
      <c r="B143" s="104">
        <f>B141+B142</f>
        <v>34370</v>
      </c>
      <c r="C143" s="104">
        <f>C141+C142</f>
        <v>32113</v>
      </c>
      <c r="D143" s="104">
        <f>SUM(D141:D142)</f>
        <v>-2257</v>
      </c>
      <c r="E143" s="102">
        <f>H138+H150+H151+H152</f>
        <v>-2686</v>
      </c>
    </row>
    <row r="144" spans="1:8" s="102" customFormat="1" x14ac:dyDescent="0.2">
      <c r="G144" s="102" t="s">
        <v>18</v>
      </c>
    </row>
    <row r="145" spans="1:8" s="102" customFormat="1" x14ac:dyDescent="0.2">
      <c r="A145" s="102" t="s">
        <v>196</v>
      </c>
      <c r="D145" s="102">
        <f>D127+D130+D131+D133+D137+D143</f>
        <v>15218</v>
      </c>
      <c r="E145" s="102">
        <f>E127+E130+E131+E133+E137+E143</f>
        <v>-7043</v>
      </c>
      <c r="G145" s="103" t="s">
        <v>19</v>
      </c>
      <c r="H145" s="102">
        <v>-71356</v>
      </c>
    </row>
    <row r="146" spans="1:8" s="102" customFormat="1" x14ac:dyDescent="0.2">
      <c r="G146" s="103" t="s">
        <v>20</v>
      </c>
      <c r="H146" s="102">
        <v>55881</v>
      </c>
    </row>
    <row r="147" spans="1:8" s="102" customFormat="1" x14ac:dyDescent="0.2">
      <c r="A147" s="105" t="s">
        <v>278</v>
      </c>
      <c r="B147" s="105"/>
      <c r="C147" s="105"/>
      <c r="G147" s="103" t="s">
        <v>21</v>
      </c>
      <c r="H147" s="102">
        <v>47838</v>
      </c>
    </row>
    <row r="148" spans="1:8" s="102" customFormat="1" x14ac:dyDescent="0.2">
      <c r="G148" s="103" t="s">
        <v>17</v>
      </c>
      <c r="H148" s="102">
        <v>-13313</v>
      </c>
    </row>
    <row r="149" spans="1:8" s="102" customFormat="1" x14ac:dyDescent="0.2">
      <c r="A149" s="102" t="s">
        <v>274</v>
      </c>
      <c r="B149" s="102">
        <v>7543</v>
      </c>
      <c r="C149" s="102">
        <v>7548</v>
      </c>
      <c r="D149" s="102">
        <f>B149-C149</f>
        <v>-5</v>
      </c>
      <c r="G149" s="103" t="s">
        <v>22</v>
      </c>
      <c r="H149" s="102">
        <v>-721</v>
      </c>
    </row>
    <row r="150" spans="1:8" s="102" customFormat="1" x14ac:dyDescent="0.2">
      <c r="A150" s="102" t="s">
        <v>275</v>
      </c>
      <c r="B150" s="102">
        <v>2797</v>
      </c>
      <c r="C150" s="102">
        <v>2836</v>
      </c>
      <c r="D150" s="102">
        <f>B150-C150</f>
        <v>-39</v>
      </c>
      <c r="G150" s="103" t="s">
        <v>23</v>
      </c>
      <c r="H150" s="102">
        <v>-1871</v>
      </c>
    </row>
    <row r="151" spans="1:8" s="102" customFormat="1" x14ac:dyDescent="0.2">
      <c r="A151" s="104" t="s">
        <v>276</v>
      </c>
      <c r="B151" s="104">
        <f>SUM(B149:B150)</f>
        <v>10340</v>
      </c>
      <c r="C151" s="104">
        <f>SUM(C149:C150)</f>
        <v>10384</v>
      </c>
      <c r="D151" s="102">
        <f>B151-C151</f>
        <v>-44</v>
      </c>
      <c r="E151" s="102">
        <f>H140</f>
        <v>-44</v>
      </c>
      <c r="G151" s="103" t="s">
        <v>8</v>
      </c>
      <c r="H151" s="102">
        <v>-745</v>
      </c>
    </row>
    <row r="152" spans="1:8" s="102" customFormat="1" x14ac:dyDescent="0.2">
      <c r="A152" s="102" t="s">
        <v>13</v>
      </c>
      <c r="B152" s="102">
        <v>55888</v>
      </c>
      <c r="C152" s="102">
        <v>49049</v>
      </c>
      <c r="D152" s="102">
        <f>B152-C152</f>
        <v>6839</v>
      </c>
      <c r="E152" s="102">
        <f>H139</f>
        <v>9175</v>
      </c>
      <c r="G152" s="103" t="s">
        <v>25</v>
      </c>
      <c r="H152" s="102">
        <v>353</v>
      </c>
    </row>
    <row r="153" spans="1:8" s="102" customFormat="1" x14ac:dyDescent="0.2">
      <c r="A153" s="104" t="s">
        <v>277</v>
      </c>
      <c r="B153" s="104">
        <f>SUM(B151:B152)</f>
        <v>66228</v>
      </c>
      <c r="C153" s="104">
        <f>SUM(C151:C152)</f>
        <v>59433</v>
      </c>
      <c r="D153" s="102">
        <f>B153-C153</f>
        <v>6795</v>
      </c>
      <c r="G153" s="102" t="s">
        <v>28</v>
      </c>
      <c r="H153" s="102">
        <f>SUM(H145:H152)</f>
        <v>16066</v>
      </c>
    </row>
    <row r="155" spans="1:8" s="102" customFormat="1" x14ac:dyDescent="0.2">
      <c r="A155" s="102" t="s">
        <v>199</v>
      </c>
      <c r="B155" s="102">
        <v>11964</v>
      </c>
      <c r="C155" s="102">
        <v>11977</v>
      </c>
      <c r="D155" s="102">
        <f>B155-C155</f>
        <v>-13</v>
      </c>
      <c r="E155" s="102">
        <f>H163</f>
        <v>-37</v>
      </c>
      <c r="G155" s="102" t="s">
        <v>228</v>
      </c>
    </row>
    <row r="156" spans="1:8" s="102" customFormat="1" x14ac:dyDescent="0.2">
      <c r="G156" s="102" t="s">
        <v>29</v>
      </c>
      <c r="H156" s="102">
        <v>-2527</v>
      </c>
    </row>
    <row r="157" spans="1:8" s="102" customFormat="1" x14ac:dyDescent="0.2">
      <c r="A157" s="102" t="s">
        <v>139</v>
      </c>
      <c r="B157" s="102">
        <v>8784</v>
      </c>
      <c r="C157" s="102">
        <v>6496</v>
      </c>
      <c r="D157" s="102">
        <f>B157-C157</f>
        <v>2288</v>
      </c>
      <c r="G157" s="102" t="s">
        <v>30</v>
      </c>
      <c r="H157" s="102">
        <v>-13712</v>
      </c>
    </row>
    <row r="158" spans="1:8" s="102" customFormat="1" x14ac:dyDescent="0.2">
      <c r="A158" s="102" t="s">
        <v>140</v>
      </c>
      <c r="B158" s="102">
        <v>93735</v>
      </c>
      <c r="C158" s="102">
        <v>97207</v>
      </c>
      <c r="D158" s="102">
        <f>B158-C158</f>
        <v>-3472</v>
      </c>
      <c r="G158" s="102" t="s">
        <v>31</v>
      </c>
      <c r="H158" s="102">
        <v>669</v>
      </c>
    </row>
    <row r="159" spans="1:8" s="102" customFormat="1" x14ac:dyDescent="0.2">
      <c r="A159" s="104" t="s">
        <v>351</v>
      </c>
      <c r="B159" s="104">
        <f>SUM(B157:B158)</f>
        <v>102519</v>
      </c>
      <c r="C159" s="104">
        <f>SUM(C157:C158)</f>
        <v>103703</v>
      </c>
      <c r="D159" s="102">
        <f>B159-C159</f>
        <v>-1184</v>
      </c>
      <c r="E159" s="102">
        <f>SUM(H160:H163)</f>
        <v>432</v>
      </c>
      <c r="G159" s="102" t="s">
        <v>32</v>
      </c>
      <c r="H159" s="102">
        <v>-72738</v>
      </c>
    </row>
    <row r="160" spans="1:8" s="102" customFormat="1" x14ac:dyDescent="0.2">
      <c r="G160" s="103" t="s">
        <v>34</v>
      </c>
      <c r="H160" s="102">
        <v>6969</v>
      </c>
    </row>
    <row r="161" spans="1:8" s="102" customFormat="1" x14ac:dyDescent="0.2">
      <c r="G161" s="103" t="s">
        <v>35</v>
      </c>
      <c r="H161" s="102">
        <v>-6500</v>
      </c>
    </row>
    <row r="162" spans="1:8" s="102" customFormat="1" x14ac:dyDescent="0.2">
      <c r="A162" s="102" t="s">
        <v>200</v>
      </c>
      <c r="B162" s="102">
        <v>32687</v>
      </c>
      <c r="D162" s="102">
        <f>B162-C162</f>
        <v>32687</v>
      </c>
      <c r="G162" s="103" t="s">
        <v>36</v>
      </c>
    </row>
    <row r="163" spans="1:8" s="102" customFormat="1" x14ac:dyDescent="0.2">
      <c r="A163" s="102" t="s">
        <v>203</v>
      </c>
      <c r="B163" s="102">
        <v>45180</v>
      </c>
      <c r="C163" s="102">
        <v>40415</v>
      </c>
      <c r="D163" s="102">
        <f>B163-C163</f>
        <v>4765</v>
      </c>
      <c r="G163" s="103" t="s">
        <v>37</v>
      </c>
      <c r="H163" s="102">
        <v>-37</v>
      </c>
    </row>
    <row r="164" spans="1:8" s="102" customFormat="1" x14ac:dyDescent="0.2">
      <c r="A164" s="102" t="s">
        <v>352</v>
      </c>
      <c r="B164" s="102">
        <f>SUM(B162:B163)</f>
        <v>77867</v>
      </c>
      <c r="C164" s="102">
        <f>SUM(C162:C163)</f>
        <v>40415</v>
      </c>
      <c r="D164" s="102">
        <f>SUM(D162:D163)</f>
        <v>37452</v>
      </c>
      <c r="E164" s="102">
        <f>H141</f>
        <v>38490</v>
      </c>
      <c r="G164" s="102" t="s">
        <v>38</v>
      </c>
      <c r="H164" s="102">
        <v>-87876</v>
      </c>
    </row>
    <row r="166" spans="1:8" s="102" customFormat="1" x14ac:dyDescent="0.2">
      <c r="A166" s="102" t="s">
        <v>205</v>
      </c>
      <c r="B166" s="102">
        <f>B153+B159+SUM(B162:B163)</f>
        <v>246614</v>
      </c>
      <c r="C166" s="102">
        <f>C153+C159+SUM(C162:C163)</f>
        <v>203551</v>
      </c>
      <c r="D166" s="102">
        <f>B166-C166</f>
        <v>43063</v>
      </c>
      <c r="G166" s="102" t="s">
        <v>151</v>
      </c>
      <c r="H166" s="102">
        <f>H142+H153+H164</f>
        <v>5624</v>
      </c>
    </row>
    <row r="170" spans="1:8" s="102" customFormat="1" x14ac:dyDescent="0.2">
      <c r="G170" s="102" t="s">
        <v>40</v>
      </c>
      <c r="H170" s="102">
        <v>25913</v>
      </c>
    </row>
    <row r="173" spans="1:8" s="102" customFormat="1" x14ac:dyDescent="0.2">
      <c r="G173" s="102" t="s">
        <v>229</v>
      </c>
    </row>
    <row r="174" spans="1:8" s="102" customFormat="1" x14ac:dyDescent="0.2">
      <c r="G174" s="102" t="s">
        <v>2</v>
      </c>
      <c r="H174" s="102">
        <v>10417</v>
      </c>
    </row>
    <row r="175" spans="1:8" s="102" customFormat="1" x14ac:dyDescent="0.2">
      <c r="G175" s="102" t="s">
        <v>3</v>
      </c>
      <c r="H175" s="102">
        <v>3022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A5D13-1B3D-6E45-A3DE-39F444CCC1C9}">
  <sheetPr codeName="Sheet12"/>
  <dimension ref="A1:AN73"/>
  <sheetViews>
    <sheetView workbookViewId="0">
      <selection activeCell="G19" sqref="G19"/>
    </sheetView>
  </sheetViews>
  <sheetFormatPr baseColWidth="10" defaultRowHeight="16" x14ac:dyDescent="0.2"/>
  <cols>
    <col min="1" max="1" width="31" customWidth="1"/>
    <col min="7" max="7" width="11.1640625" bestFit="1" customWidth="1"/>
    <col min="8" max="8" width="11.1640625" customWidth="1"/>
  </cols>
  <sheetData>
    <row r="1" spans="1:25" ht="15" customHeight="1" x14ac:dyDescent="0.2">
      <c r="A1" s="4"/>
      <c r="B1" s="4" t="s">
        <v>46</v>
      </c>
      <c r="C1" s="4" t="s">
        <v>49</v>
      </c>
      <c r="D1" s="4" t="s">
        <v>52</v>
      </c>
      <c r="E1" s="4" t="s">
        <v>55</v>
      </c>
      <c r="F1" s="4" t="s">
        <v>58</v>
      </c>
      <c r="G1" s="4" t="s">
        <v>148</v>
      </c>
      <c r="H1" s="4"/>
      <c r="I1" s="4"/>
      <c r="J1" s="4"/>
      <c r="K1" s="4" t="s">
        <v>75</v>
      </c>
      <c r="L1" s="4" t="s">
        <v>50</v>
      </c>
      <c r="M1" s="4" t="s">
        <v>51</v>
      </c>
      <c r="N1" s="4" t="s">
        <v>70</v>
      </c>
      <c r="O1" s="4" t="s">
        <v>76</v>
      </c>
      <c r="P1" s="4" t="s">
        <v>53</v>
      </c>
      <c r="Q1" s="4" t="s">
        <v>54</v>
      </c>
      <c r="R1" s="4" t="s">
        <v>71</v>
      </c>
      <c r="S1" s="4" t="s">
        <v>77</v>
      </c>
      <c r="T1" s="4" t="s">
        <v>56</v>
      </c>
      <c r="U1" s="4" t="s">
        <v>57</v>
      </c>
      <c r="V1" s="4" t="s">
        <v>72</v>
      </c>
      <c r="W1" s="4" t="s">
        <v>78</v>
      </c>
      <c r="X1" s="4" t="s">
        <v>59</v>
      </c>
      <c r="Y1" s="4" t="s">
        <v>60</v>
      </c>
    </row>
    <row r="2" spans="1:25" x14ac:dyDescent="0.2">
      <c r="A2" s="5" t="s">
        <v>61</v>
      </c>
      <c r="B2" s="5">
        <v>141319</v>
      </c>
      <c r="C2" s="5">
        <v>166699</v>
      </c>
      <c r="D2" s="5">
        <v>142381</v>
      </c>
      <c r="E2" s="5">
        <v>137781</v>
      </c>
      <c r="F2" s="5">
        <v>191973</v>
      </c>
      <c r="G2">
        <v>201731</v>
      </c>
      <c r="I2" s="5"/>
      <c r="J2" s="5"/>
      <c r="K2" s="5">
        <v>51982</v>
      </c>
      <c r="L2" s="5">
        <v>31051</v>
      </c>
      <c r="M2" s="5">
        <v>25986</v>
      </c>
      <c r="N2" s="5">
        <v>33362</v>
      </c>
      <c r="O2" s="5">
        <v>55957</v>
      </c>
      <c r="P2" s="5">
        <v>28962</v>
      </c>
      <c r="Q2" s="5">
        <v>26418</v>
      </c>
      <c r="R2" s="5">
        <v>26444</v>
      </c>
      <c r="S2" s="5">
        <v>65597</v>
      </c>
      <c r="T2" s="5">
        <v>47938</v>
      </c>
      <c r="U2" s="5">
        <v>39570</v>
      </c>
      <c r="V2" s="5">
        <v>38868</v>
      </c>
      <c r="W2" s="5">
        <v>71628</v>
      </c>
      <c r="X2" s="5">
        <v>50570</v>
      </c>
      <c r="Y2" s="5">
        <v>40665</v>
      </c>
    </row>
    <row r="3" spans="1:25" x14ac:dyDescent="0.2">
      <c r="A3" s="5" t="s">
        <v>62</v>
      </c>
      <c r="B3" s="5">
        <v>25850</v>
      </c>
      <c r="C3" s="5">
        <v>25484</v>
      </c>
      <c r="D3" s="5">
        <v>25740</v>
      </c>
      <c r="E3" s="5">
        <v>28622</v>
      </c>
      <c r="F3" s="5">
        <v>35190</v>
      </c>
      <c r="G3">
        <v>37847</v>
      </c>
      <c r="I3" s="5"/>
      <c r="J3" s="5"/>
      <c r="K3" s="5">
        <v>7416</v>
      </c>
      <c r="L3" s="5">
        <v>5513</v>
      </c>
      <c r="M3" s="5">
        <v>5820</v>
      </c>
      <c r="N3" s="5">
        <v>6991</v>
      </c>
      <c r="O3" s="5">
        <v>7160</v>
      </c>
      <c r="P3" s="5">
        <v>5351</v>
      </c>
      <c r="Q3" s="5">
        <v>7079</v>
      </c>
      <c r="R3" s="5">
        <v>9032</v>
      </c>
      <c r="S3" s="5">
        <v>8675</v>
      </c>
      <c r="T3" s="5">
        <v>9102</v>
      </c>
      <c r="U3" s="5">
        <v>8235</v>
      </c>
      <c r="V3" s="5">
        <v>9178</v>
      </c>
      <c r="W3" s="5">
        <v>10852</v>
      </c>
      <c r="X3" s="5">
        <v>10435</v>
      </c>
      <c r="Y3" s="5">
        <v>7382</v>
      </c>
    </row>
    <row r="4" spans="1:25" x14ac:dyDescent="0.2">
      <c r="A4" s="5" t="s">
        <v>63</v>
      </c>
      <c r="B4" s="5">
        <v>19222</v>
      </c>
      <c r="C4" s="5">
        <v>18805</v>
      </c>
      <c r="D4" s="5">
        <v>21280</v>
      </c>
      <c r="E4" s="5">
        <v>23724</v>
      </c>
      <c r="F4" s="5">
        <v>31862</v>
      </c>
      <c r="G4">
        <v>30370</v>
      </c>
      <c r="I4" s="5"/>
      <c r="J4" s="5"/>
      <c r="K4" s="5">
        <v>6729</v>
      </c>
      <c r="L4" s="5">
        <v>4872</v>
      </c>
      <c r="M4" s="5">
        <v>5023</v>
      </c>
      <c r="N4" s="5">
        <v>4656</v>
      </c>
      <c r="O4" s="5">
        <v>5977</v>
      </c>
      <c r="P4" s="5">
        <v>4368</v>
      </c>
      <c r="Q4" s="5">
        <v>6582</v>
      </c>
      <c r="R4" s="5">
        <v>6797</v>
      </c>
      <c r="S4" s="5">
        <v>8435</v>
      </c>
      <c r="T4" s="5">
        <v>7807</v>
      </c>
      <c r="U4" s="5">
        <v>7368</v>
      </c>
      <c r="V4" s="5">
        <v>8252</v>
      </c>
      <c r="W4" s="5">
        <v>7248</v>
      </c>
      <c r="X4" s="5">
        <v>7646</v>
      </c>
      <c r="Y4" s="5">
        <v>7224</v>
      </c>
    </row>
    <row r="5" spans="1:25" x14ac:dyDescent="0.2">
      <c r="A5" s="5" t="s">
        <v>64</v>
      </c>
      <c r="B5" s="5">
        <v>12863</v>
      </c>
      <c r="C5" s="5">
        <v>17417</v>
      </c>
      <c r="D5" s="5">
        <v>24482</v>
      </c>
      <c r="E5" s="5">
        <v>30620</v>
      </c>
      <c r="F5" s="5">
        <v>38367</v>
      </c>
      <c r="G5">
        <v>40376</v>
      </c>
      <c r="I5" s="5"/>
      <c r="J5" s="5"/>
      <c r="K5" s="5">
        <v>7308</v>
      </c>
      <c r="L5" s="5">
        <v>5129</v>
      </c>
      <c r="M5" s="5">
        <v>5525</v>
      </c>
      <c r="N5" s="5">
        <v>6520</v>
      </c>
      <c r="O5" s="5">
        <v>10010</v>
      </c>
      <c r="P5" s="5">
        <v>6284</v>
      </c>
      <c r="Q5" s="5">
        <v>6450</v>
      </c>
      <c r="R5" s="5">
        <v>7876</v>
      </c>
      <c r="S5" s="5">
        <v>12971</v>
      </c>
      <c r="T5" s="5">
        <v>7836</v>
      </c>
      <c r="U5" s="5">
        <v>8775</v>
      </c>
      <c r="V5" s="5">
        <v>8785</v>
      </c>
      <c r="W5" s="5">
        <v>14701</v>
      </c>
      <c r="X5" s="5">
        <v>8806</v>
      </c>
      <c r="Y5" s="5">
        <v>8084</v>
      </c>
    </row>
    <row r="6" spans="1:25" x14ac:dyDescent="0.2">
      <c r="A6" s="5" t="s">
        <v>65</v>
      </c>
      <c r="B6" s="5">
        <v>29980</v>
      </c>
      <c r="C6" s="5">
        <v>37190</v>
      </c>
      <c r="D6" s="5">
        <v>46291</v>
      </c>
      <c r="E6" s="5">
        <v>53768</v>
      </c>
      <c r="F6" s="5">
        <v>68425</v>
      </c>
      <c r="G6">
        <v>77218</v>
      </c>
      <c r="I6" s="5"/>
      <c r="J6" s="5"/>
      <c r="K6" s="5">
        <v>10875</v>
      </c>
      <c r="L6" s="5">
        <v>11450</v>
      </c>
      <c r="M6" s="5">
        <v>11455</v>
      </c>
      <c r="N6" s="5">
        <v>12511</v>
      </c>
      <c r="O6" s="5">
        <v>12715</v>
      </c>
      <c r="P6" s="5">
        <v>13348</v>
      </c>
      <c r="Q6" s="5">
        <v>13156</v>
      </c>
      <c r="R6" s="5">
        <v>14549</v>
      </c>
      <c r="S6" s="5">
        <v>15761</v>
      </c>
      <c r="T6" s="5">
        <v>16901</v>
      </c>
      <c r="U6" s="5">
        <v>17486</v>
      </c>
      <c r="V6" s="5">
        <v>18277</v>
      </c>
      <c r="W6" s="5">
        <v>19516</v>
      </c>
      <c r="X6" s="5">
        <v>19821</v>
      </c>
      <c r="Y6" s="5">
        <v>19604</v>
      </c>
    </row>
    <row r="7" spans="1:25" s="10" customFormat="1" x14ac:dyDescent="0.2">
      <c r="A7" s="14" t="s">
        <v>66</v>
      </c>
      <c r="B7" s="14">
        <v>229234</v>
      </c>
      <c r="C7" s="14">
        <v>265595</v>
      </c>
      <c r="D7" s="14">
        <v>260174</v>
      </c>
      <c r="E7" s="14">
        <v>274515</v>
      </c>
      <c r="F7" s="14">
        <v>365817</v>
      </c>
      <c r="G7" s="10">
        <v>387542</v>
      </c>
      <c r="I7" s="14"/>
      <c r="J7" s="14"/>
      <c r="K7" s="14">
        <v>84310</v>
      </c>
      <c r="L7" s="14">
        <v>58015</v>
      </c>
      <c r="M7" s="14">
        <v>53809</v>
      </c>
      <c r="N7" s="14">
        <v>64040</v>
      </c>
      <c r="O7" s="14">
        <v>91819</v>
      </c>
      <c r="P7" s="14">
        <v>58313</v>
      </c>
      <c r="Q7" s="14">
        <v>59685</v>
      </c>
      <c r="R7" s="14">
        <v>64698</v>
      </c>
      <c r="S7" s="14">
        <v>111439</v>
      </c>
      <c r="T7" s="14">
        <v>89584</v>
      </c>
      <c r="U7" s="14">
        <v>81434</v>
      </c>
      <c r="V7" s="14">
        <v>83360</v>
      </c>
      <c r="W7" s="14">
        <v>123945</v>
      </c>
      <c r="X7" s="14">
        <v>97278</v>
      </c>
      <c r="Y7" s="14">
        <v>82959</v>
      </c>
    </row>
    <row r="9" spans="1:25" s="6" customFormat="1" x14ac:dyDescent="0.2">
      <c r="A9" s="6" t="s">
        <v>109</v>
      </c>
    </row>
    <row r="10" spans="1:25" s="6" customFormat="1" x14ac:dyDescent="0.2">
      <c r="A10" s="7" t="s">
        <v>104</v>
      </c>
      <c r="C10" s="8">
        <v>0.17959368520864144</v>
      </c>
      <c r="D10" s="8">
        <v>-0.14587969933832837</v>
      </c>
      <c r="E10" s="8">
        <v>-3.2307681502447658E-2</v>
      </c>
      <c r="F10" s="8">
        <v>0.39331983364905176</v>
      </c>
      <c r="G10" s="6">
        <v>0.12354287687483639</v>
      </c>
      <c r="I10" s="8"/>
      <c r="J10" s="8"/>
      <c r="K10" s="8">
        <v>-0.15580745745095492</v>
      </c>
      <c r="L10" s="8">
        <v>-0.18355595288178375</v>
      </c>
      <c r="M10" s="8">
        <v>-0.13107737577743597</v>
      </c>
      <c r="N10" s="8">
        <v>-0.10281027295952669</v>
      </c>
      <c r="O10" s="8">
        <v>7.6468777653803235E-2</v>
      </c>
      <c r="P10" s="8">
        <v>-6.7276416218479282E-2</v>
      </c>
      <c r="Q10" s="8">
        <v>1.6624336181020549E-2</v>
      </c>
      <c r="R10" s="8">
        <v>-0.20736166896469035</v>
      </c>
      <c r="S10" s="8">
        <v>0.17227513983951964</v>
      </c>
      <c r="T10" s="8">
        <v>0.65520336993301564</v>
      </c>
      <c r="U10" s="8">
        <v>0.4978423801953214</v>
      </c>
      <c r="V10" s="8">
        <v>0.46982302223566785</v>
      </c>
      <c r="W10" s="8">
        <v>9.1940180191167273E-2</v>
      </c>
      <c r="X10" s="8">
        <v>5.4904251324627645E-2</v>
      </c>
      <c r="Y10" s="8">
        <v>2.7672479150871874E-2</v>
      </c>
    </row>
    <row r="11" spans="1:25" s="6" customFormat="1" x14ac:dyDescent="0.2">
      <c r="A11" s="7" t="s">
        <v>106</v>
      </c>
      <c r="C11" s="8">
        <v>-1.4158607350096712E-2</v>
      </c>
      <c r="D11" s="8">
        <v>1.0045518756867053E-2</v>
      </c>
      <c r="E11" s="8">
        <v>0.11196581196581197</v>
      </c>
      <c r="F11" s="8">
        <v>0.22947383131856613</v>
      </c>
      <c r="G11" s="6">
        <v>7.9985161511243005E-2</v>
      </c>
      <c r="I11" s="8"/>
      <c r="J11" s="8"/>
      <c r="K11" s="8">
        <v>7.5562001450326322E-2</v>
      </c>
      <c r="L11" s="8">
        <v>-5.7284541723666212E-2</v>
      </c>
      <c r="M11" s="8">
        <v>9.193245778611632E-2</v>
      </c>
      <c r="N11" s="8">
        <v>-5.6672513830792068E-2</v>
      </c>
      <c r="O11" s="8">
        <v>-3.4519956850053934E-2</v>
      </c>
      <c r="P11" s="8">
        <v>-2.9385089787774352E-2</v>
      </c>
      <c r="Q11" s="8">
        <v>0.21632302405498283</v>
      </c>
      <c r="R11" s="8">
        <v>0.29194678872836505</v>
      </c>
      <c r="S11" s="8">
        <v>0.21159217877094971</v>
      </c>
      <c r="T11" s="8">
        <v>0.70099046907120166</v>
      </c>
      <c r="U11" s="8">
        <v>0.16329990111597684</v>
      </c>
      <c r="V11" s="8">
        <v>1.6164747564216122E-2</v>
      </c>
      <c r="W11" s="8">
        <v>0.25095100864553316</v>
      </c>
      <c r="X11" s="8">
        <v>0.14645132937815863</v>
      </c>
      <c r="Y11" s="8">
        <v>-0.10358227079538555</v>
      </c>
    </row>
    <row r="12" spans="1:25" s="6" customFormat="1" x14ac:dyDescent="0.2">
      <c r="A12" s="7" t="s">
        <v>105</v>
      </c>
      <c r="C12" s="8">
        <v>-2.1693892414941213E-2</v>
      </c>
      <c r="D12" s="8">
        <v>0.13161393246477002</v>
      </c>
      <c r="E12" s="8">
        <v>0.11484962406015038</v>
      </c>
      <c r="F12" s="8">
        <v>0.34302815714044849</v>
      </c>
      <c r="G12" s="6">
        <v>-1.2168250731739402E-3</v>
      </c>
      <c r="I12" s="8"/>
      <c r="J12" s="8"/>
      <c r="K12" s="8">
        <v>0.14790174002047082</v>
      </c>
      <c r="L12" s="8">
        <v>0.18453683442742524</v>
      </c>
      <c r="M12" s="8">
        <v>5.9481122126133726E-2</v>
      </c>
      <c r="N12" s="8">
        <v>0.13866471019809246</v>
      </c>
      <c r="O12" s="8">
        <v>-0.1117550899093476</v>
      </c>
      <c r="P12" s="8">
        <v>-0.10344827586206896</v>
      </c>
      <c r="Q12" s="8">
        <v>0.31037228747760304</v>
      </c>
      <c r="R12" s="8">
        <v>0.45983676975945015</v>
      </c>
      <c r="S12" s="8">
        <v>0.41124309854442026</v>
      </c>
      <c r="T12" s="8">
        <v>0.7873168498168498</v>
      </c>
      <c r="U12" s="8">
        <v>0.11941659070191431</v>
      </c>
      <c r="V12" s="8">
        <v>0.21406502868912755</v>
      </c>
      <c r="W12" s="8">
        <v>-0.14072317723770006</v>
      </c>
      <c r="X12" s="8">
        <v>-2.0622518252850008E-2</v>
      </c>
      <c r="Y12" s="8">
        <v>-1.9543973941368076E-2</v>
      </c>
    </row>
    <row r="13" spans="1:25" s="6" customFormat="1" x14ac:dyDescent="0.2">
      <c r="A13" s="7" t="s">
        <v>107</v>
      </c>
      <c r="C13" s="8">
        <v>0.35403871569618284</v>
      </c>
      <c r="D13" s="8">
        <v>0.40563816960440946</v>
      </c>
      <c r="E13" s="8">
        <v>0.25071481088146391</v>
      </c>
      <c r="F13" s="8">
        <v>0.25300457217504901</v>
      </c>
      <c r="G13" s="6">
        <v>7.7900581985156703E-2</v>
      </c>
      <c r="I13" s="8"/>
      <c r="J13" s="8"/>
      <c r="K13" s="8">
        <v>0.3313900528329386</v>
      </c>
      <c r="L13" s="8">
        <v>0.29716742539200808</v>
      </c>
      <c r="M13" s="8">
        <v>0.47727272727272729</v>
      </c>
      <c r="N13" s="8">
        <v>0.53991497401983934</v>
      </c>
      <c r="O13" s="8">
        <v>0.36973180076628354</v>
      </c>
      <c r="P13" s="8">
        <v>0.22519009553519204</v>
      </c>
      <c r="Q13" s="8">
        <v>0.167420814479638</v>
      </c>
      <c r="R13" s="8">
        <v>0.20797546012269938</v>
      </c>
      <c r="S13" s="8">
        <v>0.29580419580419581</v>
      </c>
      <c r="T13" s="8">
        <v>0.24697644812221514</v>
      </c>
      <c r="U13" s="8">
        <v>0.36046511627906974</v>
      </c>
      <c r="V13" s="8">
        <v>0.1154139156932453</v>
      </c>
      <c r="W13" s="8">
        <v>0.13337445069771028</v>
      </c>
      <c r="X13" s="8">
        <v>0.12378764675855028</v>
      </c>
      <c r="Y13" s="8">
        <v>-7.8746438746438746E-2</v>
      </c>
    </row>
    <row r="14" spans="1:25" s="6" customFormat="1" x14ac:dyDescent="0.2">
      <c r="A14" s="7" t="s">
        <v>65</v>
      </c>
      <c r="C14" s="8">
        <v>0.24049366244162776</v>
      </c>
      <c r="D14" s="8">
        <v>0.24471632159182577</v>
      </c>
      <c r="E14" s="8">
        <v>0.16152167807997234</v>
      </c>
      <c r="F14" s="8">
        <v>0.27259708376729652</v>
      </c>
      <c r="G14" s="6">
        <v>0.19353293042954078</v>
      </c>
      <c r="I14" s="8"/>
      <c r="J14" s="8"/>
      <c r="K14" s="8">
        <v>0.2837917601227718</v>
      </c>
      <c r="L14" s="8">
        <v>0.24591947769314473</v>
      </c>
      <c r="M14" s="8">
        <v>0.19972769166317553</v>
      </c>
      <c r="N14" s="8">
        <v>0.25348161506863037</v>
      </c>
      <c r="O14" s="8">
        <v>0.16919540229885058</v>
      </c>
      <c r="P14" s="8">
        <v>0.165764192139738</v>
      </c>
      <c r="Q14" s="8">
        <v>0.14849410737669141</v>
      </c>
      <c r="R14" s="8">
        <v>0.16289665094716649</v>
      </c>
      <c r="S14" s="8">
        <v>0.23955957530475816</v>
      </c>
      <c r="T14" s="8">
        <v>0.26618219958046146</v>
      </c>
      <c r="U14" s="8">
        <v>0.32912739434478566</v>
      </c>
      <c r="V14" s="8">
        <v>0.25623754209911331</v>
      </c>
      <c r="W14" s="8">
        <v>0.23824630416851722</v>
      </c>
      <c r="X14" s="8">
        <v>0.17277084196201409</v>
      </c>
      <c r="Y14" s="8">
        <v>0.12112547180601624</v>
      </c>
    </row>
    <row r="15" spans="1:25" s="16" customFormat="1" x14ac:dyDescent="0.2">
      <c r="A15" s="15" t="s">
        <v>108</v>
      </c>
      <c r="C15" s="17">
        <v>0.15861957650261305</v>
      </c>
      <c r="D15" s="17">
        <v>-2.0410775805267418E-2</v>
      </c>
      <c r="E15" s="17">
        <v>5.5120803769784836E-2</v>
      </c>
      <c r="F15" s="17">
        <v>0.33259384733074693</v>
      </c>
      <c r="G15" s="16">
        <v>0.11633708285924155</v>
      </c>
      <c r="I15" s="17"/>
      <c r="J15" s="17"/>
      <c r="K15" s="17">
        <v>-4.5111163965433271E-2</v>
      </c>
      <c r="L15" s="17">
        <v>-5.106563946546281E-2</v>
      </c>
      <c r="M15" s="17">
        <v>1.0213085515817141E-2</v>
      </c>
      <c r="N15" s="17">
        <v>1.8124006359300476E-2</v>
      </c>
      <c r="O15" s="17">
        <v>8.9064167951607168E-2</v>
      </c>
      <c r="P15" s="17">
        <v>5.1366026027751446E-3</v>
      </c>
      <c r="Q15" s="17">
        <v>0.10920106301919753</v>
      </c>
      <c r="R15" s="17">
        <v>1.0274828232354778E-2</v>
      </c>
      <c r="S15" s="17">
        <v>0.21368126422635839</v>
      </c>
      <c r="T15" s="17">
        <v>0.53626121105070912</v>
      </c>
      <c r="U15" s="17">
        <v>0.36439641450950827</v>
      </c>
      <c r="V15" s="17">
        <v>0.28844786546724782</v>
      </c>
      <c r="W15" s="17">
        <v>0.11222283042740872</v>
      </c>
      <c r="X15" s="17">
        <v>8.5885872477228078E-2</v>
      </c>
      <c r="Y15" s="17">
        <v>1.8726821720657219E-2</v>
      </c>
    </row>
    <row r="16" spans="1:25" s="32" customFormat="1" x14ac:dyDescent="0.2">
      <c r="A16" s="31"/>
      <c r="C16" s="33"/>
      <c r="D16" s="33"/>
      <c r="E16" s="33"/>
      <c r="F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</row>
    <row r="17" spans="1:25" x14ac:dyDescent="0.2">
      <c r="A17" s="5" t="s">
        <v>79</v>
      </c>
      <c r="B17">
        <v>141048</v>
      </c>
      <c r="C17">
        <v>163756</v>
      </c>
      <c r="D17">
        <v>161782</v>
      </c>
      <c r="E17">
        <v>169559</v>
      </c>
      <c r="F17">
        <v>212981</v>
      </c>
      <c r="G17">
        <v>219681</v>
      </c>
      <c r="K17">
        <v>52279</v>
      </c>
      <c r="L17">
        <v>36194</v>
      </c>
      <c r="M17">
        <v>33582</v>
      </c>
      <c r="N17">
        <v>39727</v>
      </c>
      <c r="O17">
        <v>56602</v>
      </c>
      <c r="P17">
        <v>35943</v>
      </c>
      <c r="Q17">
        <v>37005</v>
      </c>
      <c r="R17">
        <v>40009</v>
      </c>
      <c r="S17">
        <v>67111</v>
      </c>
      <c r="T17">
        <v>51505</v>
      </c>
      <c r="U17">
        <v>46179</v>
      </c>
      <c r="V17">
        <v>48186</v>
      </c>
      <c r="W17">
        <v>69702</v>
      </c>
      <c r="X17">
        <v>54719</v>
      </c>
      <c r="Y17">
        <v>47074</v>
      </c>
    </row>
    <row r="18" spans="1:25" s="10" customFormat="1" x14ac:dyDescent="0.2">
      <c r="A18" s="10" t="s">
        <v>80</v>
      </c>
      <c r="B18" s="10">
        <v>88186</v>
      </c>
      <c r="C18" s="10">
        <v>101839</v>
      </c>
      <c r="D18" s="10">
        <v>98392</v>
      </c>
      <c r="E18" s="10">
        <v>104956</v>
      </c>
      <c r="F18" s="10">
        <v>152836</v>
      </c>
      <c r="G18" s="10">
        <v>167861</v>
      </c>
      <c r="K18" s="10">
        <v>32031</v>
      </c>
      <c r="L18" s="10">
        <v>21821</v>
      </c>
      <c r="M18" s="10">
        <v>20227</v>
      </c>
      <c r="N18" s="10">
        <v>24313</v>
      </c>
      <c r="O18" s="10">
        <v>35217</v>
      </c>
      <c r="P18" s="10">
        <v>22370</v>
      </c>
      <c r="Q18" s="10">
        <v>22680</v>
      </c>
      <c r="R18" s="10">
        <v>24689</v>
      </c>
      <c r="S18" s="10">
        <v>44328</v>
      </c>
      <c r="T18" s="10">
        <v>38079</v>
      </c>
      <c r="U18" s="10">
        <v>35255</v>
      </c>
      <c r="V18" s="10">
        <v>35174</v>
      </c>
      <c r="W18" s="10">
        <v>54243</v>
      </c>
      <c r="X18" s="10">
        <v>42559</v>
      </c>
      <c r="Y18" s="10">
        <v>35885</v>
      </c>
    </row>
    <row r="19" spans="1:25" x14ac:dyDescent="0.2">
      <c r="A19" t="s">
        <v>84</v>
      </c>
      <c r="B19">
        <v>-13940</v>
      </c>
      <c r="C19">
        <v>-18033</v>
      </c>
      <c r="D19">
        <v>-20108</v>
      </c>
      <c r="E19">
        <v>-26809</v>
      </c>
      <c r="F19">
        <v>-32345</v>
      </c>
      <c r="G19">
        <v>-38939</v>
      </c>
      <c r="K19">
        <v>-4730</v>
      </c>
      <c r="L19">
        <v>-4988</v>
      </c>
      <c r="M19">
        <v>-5383</v>
      </c>
      <c r="N19">
        <v>-5007</v>
      </c>
      <c r="O19">
        <v>-6483</v>
      </c>
      <c r="P19">
        <v>-6449</v>
      </c>
      <c r="Q19">
        <v>-6791</v>
      </c>
      <c r="R19">
        <v>-7086</v>
      </c>
      <c r="S19">
        <v>-8083</v>
      </c>
      <c r="T19">
        <v>-7271</v>
      </c>
      <c r="U19">
        <v>-8054</v>
      </c>
      <c r="V19">
        <v>-8937</v>
      </c>
      <c r="W19">
        <v>-10305</v>
      </c>
      <c r="X19">
        <v>-9683</v>
      </c>
      <c r="Y19">
        <v>-10014</v>
      </c>
    </row>
    <row r="20" spans="1:25" s="10" customFormat="1" x14ac:dyDescent="0.2">
      <c r="A20" s="10" t="s">
        <v>99</v>
      </c>
      <c r="B20" s="10">
        <v>74246</v>
      </c>
      <c r="C20" s="10">
        <v>83806</v>
      </c>
      <c r="D20" s="10">
        <v>78284</v>
      </c>
      <c r="E20" s="10">
        <v>78147</v>
      </c>
      <c r="F20" s="10">
        <v>120491</v>
      </c>
      <c r="G20" s="10">
        <v>128922</v>
      </c>
      <c r="K20" s="10">
        <v>27301</v>
      </c>
      <c r="L20" s="10">
        <v>16833</v>
      </c>
      <c r="M20" s="10">
        <v>14844</v>
      </c>
      <c r="N20" s="10">
        <v>19306</v>
      </c>
      <c r="O20" s="10">
        <v>28734</v>
      </c>
      <c r="P20" s="10">
        <v>15921</v>
      </c>
      <c r="Q20" s="10">
        <v>15889</v>
      </c>
      <c r="R20" s="10">
        <v>17603</v>
      </c>
      <c r="S20" s="10">
        <v>36245</v>
      </c>
      <c r="T20" s="10">
        <v>30808</v>
      </c>
      <c r="U20" s="10">
        <v>27201</v>
      </c>
      <c r="V20" s="10">
        <v>26237</v>
      </c>
      <c r="W20" s="10">
        <v>43938</v>
      </c>
      <c r="X20" s="10">
        <v>32876</v>
      </c>
      <c r="Y20" s="10">
        <v>25871</v>
      </c>
    </row>
    <row r="23" spans="1:25" x14ac:dyDescent="0.2">
      <c r="A23" t="s">
        <v>82</v>
      </c>
      <c r="B23">
        <v>229234</v>
      </c>
      <c r="C23">
        <v>265595</v>
      </c>
      <c r="D23">
        <v>260174</v>
      </c>
      <c r="E23">
        <v>274515</v>
      </c>
      <c r="F23">
        <v>365817</v>
      </c>
      <c r="G23">
        <v>387542</v>
      </c>
      <c r="K23">
        <v>84310</v>
      </c>
      <c r="L23">
        <v>58015</v>
      </c>
      <c r="M23">
        <v>53809</v>
      </c>
      <c r="N23">
        <v>64040</v>
      </c>
      <c r="O23">
        <v>91819</v>
      </c>
      <c r="P23">
        <v>58313</v>
      </c>
      <c r="Q23">
        <v>59685</v>
      </c>
      <c r="R23">
        <v>64698</v>
      </c>
      <c r="S23">
        <v>111439</v>
      </c>
      <c r="T23">
        <v>89584</v>
      </c>
      <c r="U23">
        <v>81434</v>
      </c>
      <c r="V23">
        <v>83360</v>
      </c>
      <c r="W23">
        <v>123945</v>
      </c>
      <c r="X23">
        <v>97278</v>
      </c>
      <c r="Y23">
        <v>82959</v>
      </c>
    </row>
    <row r="24" spans="1:25" x14ac:dyDescent="0.2">
      <c r="A24" t="s">
        <v>79</v>
      </c>
      <c r="B24">
        <v>141048</v>
      </c>
      <c r="C24">
        <v>163756</v>
      </c>
      <c r="D24">
        <v>161782</v>
      </c>
      <c r="E24">
        <v>169559</v>
      </c>
      <c r="F24">
        <v>212981</v>
      </c>
      <c r="G24">
        <v>219681</v>
      </c>
      <c r="K24">
        <v>52279</v>
      </c>
      <c r="L24">
        <v>36194</v>
      </c>
      <c r="M24">
        <v>33582</v>
      </c>
      <c r="N24">
        <v>39727</v>
      </c>
      <c r="O24">
        <v>56602</v>
      </c>
      <c r="P24">
        <v>35943</v>
      </c>
      <c r="Q24">
        <v>37005</v>
      </c>
      <c r="R24">
        <v>40009</v>
      </c>
      <c r="S24">
        <v>67111</v>
      </c>
      <c r="T24">
        <v>51505</v>
      </c>
      <c r="U24">
        <v>46179</v>
      </c>
      <c r="V24">
        <v>48186</v>
      </c>
      <c r="W24">
        <v>69702</v>
      </c>
      <c r="X24">
        <v>54719</v>
      </c>
      <c r="Y24">
        <v>47074</v>
      </c>
    </row>
    <row r="25" spans="1:25" s="10" customFormat="1" x14ac:dyDescent="0.2">
      <c r="A25" s="10" t="s">
        <v>80</v>
      </c>
      <c r="B25" s="10">
        <v>88186</v>
      </c>
      <c r="C25" s="10">
        <v>101839</v>
      </c>
      <c r="D25" s="10">
        <v>98392</v>
      </c>
      <c r="E25" s="10">
        <v>104956</v>
      </c>
      <c r="F25" s="10">
        <v>152836</v>
      </c>
      <c r="G25" s="10">
        <v>167861</v>
      </c>
      <c r="K25" s="10">
        <v>32031</v>
      </c>
      <c r="L25" s="10">
        <v>21821</v>
      </c>
      <c r="M25" s="10">
        <v>20227</v>
      </c>
      <c r="N25" s="10">
        <v>24313</v>
      </c>
      <c r="O25" s="10">
        <v>35217</v>
      </c>
      <c r="P25" s="10">
        <v>22370</v>
      </c>
      <c r="Q25" s="10">
        <v>22680</v>
      </c>
      <c r="R25" s="10">
        <v>24689</v>
      </c>
      <c r="S25" s="10">
        <v>44328</v>
      </c>
      <c r="T25" s="10">
        <v>38079</v>
      </c>
      <c r="U25" s="10">
        <v>35255</v>
      </c>
      <c r="V25" s="10">
        <v>35174</v>
      </c>
      <c r="W25" s="10">
        <v>54243</v>
      </c>
      <c r="X25" s="10">
        <v>42559</v>
      </c>
      <c r="Y25" s="10">
        <v>35885</v>
      </c>
    </row>
    <row r="26" spans="1:25" x14ac:dyDescent="0.2">
      <c r="A26" s="11" t="s">
        <v>83</v>
      </c>
      <c r="B26">
        <v>26842</v>
      </c>
      <c r="C26">
        <v>30941</v>
      </c>
      <c r="D26">
        <v>34462</v>
      </c>
      <c r="E26">
        <v>38668</v>
      </c>
      <c r="F26">
        <v>43887</v>
      </c>
      <c r="G26">
        <v>49532</v>
      </c>
      <c r="K26">
        <v>8685</v>
      </c>
      <c r="L26">
        <v>8406</v>
      </c>
      <c r="M26">
        <v>8683</v>
      </c>
      <c r="N26">
        <v>8688</v>
      </c>
      <c r="O26">
        <v>9648</v>
      </c>
      <c r="P26">
        <v>9517</v>
      </c>
      <c r="Q26">
        <v>9589</v>
      </c>
      <c r="R26">
        <v>9914</v>
      </c>
      <c r="S26">
        <v>10794</v>
      </c>
      <c r="T26">
        <v>10576</v>
      </c>
      <c r="U26">
        <v>11129</v>
      </c>
      <c r="V26">
        <v>11388</v>
      </c>
      <c r="W26">
        <v>12755</v>
      </c>
      <c r="X26">
        <v>12580</v>
      </c>
      <c r="Y26">
        <v>12809</v>
      </c>
    </row>
    <row r="27" spans="1:25" s="10" customFormat="1" x14ac:dyDescent="0.2">
      <c r="A27" s="10" t="s">
        <v>85</v>
      </c>
      <c r="B27" s="10">
        <v>61344</v>
      </c>
      <c r="C27" s="10">
        <v>70898</v>
      </c>
      <c r="D27" s="10">
        <v>63930</v>
      </c>
      <c r="E27" s="10">
        <v>66288</v>
      </c>
      <c r="F27" s="10">
        <v>108949</v>
      </c>
      <c r="G27" s="10">
        <v>118329</v>
      </c>
      <c r="K27" s="10">
        <v>23346</v>
      </c>
      <c r="L27" s="10">
        <v>13415</v>
      </c>
      <c r="M27" s="10">
        <v>11544</v>
      </c>
      <c r="N27" s="10">
        <v>15625</v>
      </c>
      <c r="O27" s="10">
        <v>25569</v>
      </c>
      <c r="P27" s="10">
        <v>12853</v>
      </c>
      <c r="Q27" s="10">
        <v>13091</v>
      </c>
      <c r="R27" s="10">
        <v>14775</v>
      </c>
      <c r="S27" s="10">
        <v>33534</v>
      </c>
      <c r="T27" s="10">
        <v>27503</v>
      </c>
      <c r="U27" s="10">
        <v>24126</v>
      </c>
      <c r="V27" s="10">
        <v>23786</v>
      </c>
      <c r="W27" s="10">
        <v>41488</v>
      </c>
      <c r="X27" s="10">
        <v>29979</v>
      </c>
      <c r="Y27" s="10">
        <v>23076</v>
      </c>
    </row>
    <row r="28" spans="1:25" x14ac:dyDescent="0.2">
      <c r="A28" t="s">
        <v>86</v>
      </c>
      <c r="B28">
        <v>10157</v>
      </c>
      <c r="C28">
        <v>10903</v>
      </c>
      <c r="D28">
        <v>12547</v>
      </c>
      <c r="E28">
        <v>11056</v>
      </c>
      <c r="F28">
        <v>11284</v>
      </c>
      <c r="G28">
        <v>11228</v>
      </c>
      <c r="K28">
        <v>3395</v>
      </c>
      <c r="L28">
        <v>3040</v>
      </c>
      <c r="M28">
        <v>2933</v>
      </c>
      <c r="N28">
        <v>3179</v>
      </c>
      <c r="O28">
        <v>2816</v>
      </c>
      <c r="P28">
        <v>2786</v>
      </c>
      <c r="Q28">
        <v>2752</v>
      </c>
      <c r="R28">
        <v>2702</v>
      </c>
      <c r="S28">
        <v>2666</v>
      </c>
      <c r="T28">
        <v>2797</v>
      </c>
      <c r="U28">
        <v>2832</v>
      </c>
      <c r="V28">
        <v>2989</v>
      </c>
      <c r="W28">
        <v>2697</v>
      </c>
      <c r="X28">
        <v>2737</v>
      </c>
      <c r="Y28">
        <v>2805</v>
      </c>
    </row>
    <row r="29" spans="1:25" s="10" customFormat="1" x14ac:dyDescent="0.2">
      <c r="A29" s="10" t="s">
        <v>81</v>
      </c>
      <c r="B29" s="10">
        <v>71501</v>
      </c>
      <c r="C29" s="10">
        <v>81801</v>
      </c>
      <c r="D29" s="10">
        <v>76477</v>
      </c>
      <c r="E29" s="10">
        <v>77344</v>
      </c>
      <c r="F29" s="10">
        <v>120233</v>
      </c>
      <c r="G29" s="10">
        <v>129557</v>
      </c>
      <c r="K29" s="10">
        <v>26741</v>
      </c>
      <c r="L29" s="10">
        <v>16455</v>
      </c>
      <c r="M29" s="10">
        <v>14477</v>
      </c>
      <c r="N29" s="10">
        <v>18804</v>
      </c>
      <c r="O29" s="10">
        <v>28385</v>
      </c>
      <c r="P29" s="10">
        <v>15639</v>
      </c>
      <c r="Q29" s="10">
        <v>15843</v>
      </c>
      <c r="R29" s="10">
        <v>17477</v>
      </c>
      <c r="S29" s="10">
        <v>36200</v>
      </c>
      <c r="T29" s="10">
        <v>30300</v>
      </c>
      <c r="U29" s="10">
        <v>26958</v>
      </c>
      <c r="V29" s="10">
        <v>26775</v>
      </c>
      <c r="W29" s="10">
        <v>44185</v>
      </c>
      <c r="X29" s="10">
        <v>32716</v>
      </c>
      <c r="Y29" s="10">
        <v>25881</v>
      </c>
    </row>
    <row r="30" spans="1:25" x14ac:dyDescent="0.2">
      <c r="A30" t="s">
        <v>150</v>
      </c>
      <c r="B30">
        <v>2745</v>
      </c>
      <c r="C30">
        <v>2005</v>
      </c>
      <c r="D30">
        <v>1807</v>
      </c>
      <c r="E30">
        <v>803</v>
      </c>
      <c r="F30">
        <v>258</v>
      </c>
      <c r="G30">
        <v>-635</v>
      </c>
      <c r="K30">
        <v>560</v>
      </c>
      <c r="L30">
        <v>378</v>
      </c>
      <c r="M30">
        <v>367</v>
      </c>
      <c r="N30">
        <v>502</v>
      </c>
      <c r="O30">
        <v>349</v>
      </c>
      <c r="P30">
        <v>282</v>
      </c>
      <c r="Q30">
        <v>46</v>
      </c>
      <c r="R30">
        <v>126</v>
      </c>
      <c r="S30">
        <v>45</v>
      </c>
      <c r="T30">
        <v>508</v>
      </c>
      <c r="U30">
        <v>243</v>
      </c>
      <c r="V30">
        <v>-538</v>
      </c>
      <c r="W30">
        <v>-247</v>
      </c>
      <c r="X30">
        <v>160</v>
      </c>
      <c r="Y30">
        <v>-10</v>
      </c>
    </row>
    <row r="31" spans="1:25" s="10" customFormat="1" x14ac:dyDescent="0.2">
      <c r="A31" s="10" t="s">
        <v>99</v>
      </c>
      <c r="B31" s="10">
        <v>74246</v>
      </c>
      <c r="C31" s="10">
        <v>83806</v>
      </c>
      <c r="D31" s="10">
        <v>78284</v>
      </c>
      <c r="E31" s="10">
        <v>78147</v>
      </c>
      <c r="F31" s="10">
        <v>120491</v>
      </c>
      <c r="G31" s="10">
        <v>128922</v>
      </c>
      <c r="K31" s="10">
        <v>27301</v>
      </c>
      <c r="L31" s="10">
        <v>16833</v>
      </c>
      <c r="M31" s="10">
        <v>14844</v>
      </c>
      <c r="N31" s="10">
        <v>19306</v>
      </c>
      <c r="O31" s="10">
        <v>28734</v>
      </c>
      <c r="P31" s="10">
        <v>15921</v>
      </c>
      <c r="Q31" s="10">
        <v>15889</v>
      </c>
      <c r="R31" s="10">
        <v>17603</v>
      </c>
      <c r="S31" s="10">
        <v>36245</v>
      </c>
      <c r="T31" s="10">
        <v>30808</v>
      </c>
      <c r="U31" s="10">
        <v>27201</v>
      </c>
      <c r="V31" s="10">
        <v>26237</v>
      </c>
      <c r="W31" s="10">
        <v>43938</v>
      </c>
      <c r="X31" s="10">
        <v>32876</v>
      </c>
      <c r="Y31" s="10">
        <v>25871</v>
      </c>
    </row>
    <row r="32" spans="1:25" x14ac:dyDescent="0.2">
      <c r="A32" s="11" t="s">
        <v>87</v>
      </c>
      <c r="B32">
        <v>394</v>
      </c>
      <c r="C32">
        <v>35161</v>
      </c>
      <c r="D32">
        <v>-3736</v>
      </c>
      <c r="E32">
        <v>13197</v>
      </c>
      <c r="F32">
        <v>1455</v>
      </c>
      <c r="G32">
        <v>4692</v>
      </c>
      <c r="K32">
        <v>3028</v>
      </c>
      <c r="L32">
        <v>-4621</v>
      </c>
      <c r="M32">
        <v>-3972</v>
      </c>
      <c r="N32">
        <v>1829</v>
      </c>
      <c r="O32">
        <v>10314</v>
      </c>
      <c r="P32">
        <v>-428</v>
      </c>
      <c r="Q32">
        <v>-2962</v>
      </c>
      <c r="R32">
        <v>6273</v>
      </c>
      <c r="S32">
        <v>7540</v>
      </c>
      <c r="T32">
        <v>-3273</v>
      </c>
      <c r="U32">
        <v>-3227</v>
      </c>
      <c r="V32">
        <v>415</v>
      </c>
      <c r="W32">
        <v>10984</v>
      </c>
      <c r="X32">
        <v>-3596</v>
      </c>
      <c r="Y32">
        <v>-3111</v>
      </c>
    </row>
    <row r="33" spans="1:40" s="9" customFormat="1" x14ac:dyDescent="0.2">
      <c r="A33" s="13" t="s">
        <v>103</v>
      </c>
      <c r="B33" s="13">
        <v>-1270</v>
      </c>
      <c r="C33" s="13">
        <v>4429</v>
      </c>
      <c r="D33" s="13">
        <v>5664</v>
      </c>
      <c r="E33" s="13">
        <v>-775</v>
      </c>
      <c r="F33" s="13">
        <v>1393</v>
      </c>
      <c r="G33">
        <v>3952</v>
      </c>
      <c r="H33"/>
      <c r="I33" s="13"/>
      <c r="J33" s="13"/>
      <c r="K33" s="13">
        <v>249</v>
      </c>
      <c r="L33" s="13">
        <v>1352</v>
      </c>
      <c r="M33" s="13">
        <v>2545</v>
      </c>
      <c r="N33" s="13">
        <v>1518</v>
      </c>
      <c r="O33" s="13">
        <v>-4501</v>
      </c>
      <c r="P33" s="13">
        <v>6</v>
      </c>
      <c r="Q33" s="13">
        <v>4395</v>
      </c>
      <c r="R33" s="13">
        <v>-675</v>
      </c>
      <c r="S33" s="13">
        <v>-140</v>
      </c>
      <c r="T33" s="13">
        <v>976</v>
      </c>
      <c r="U33" s="13">
        <v>275</v>
      </c>
      <c r="V33" s="13">
        <v>282</v>
      </c>
      <c r="W33" s="13">
        <v>-2027</v>
      </c>
      <c r="X33" s="13">
        <v>3609</v>
      </c>
      <c r="Y33" s="13">
        <v>2088</v>
      </c>
    </row>
    <row r="34" spans="1:40" s="9" customFormat="1" x14ac:dyDescent="0.2">
      <c r="A34" s="9" t="s">
        <v>88</v>
      </c>
      <c r="B34" s="9">
        <v>-12451</v>
      </c>
      <c r="C34" s="9">
        <v>-13313</v>
      </c>
      <c r="D34" s="9">
        <v>-10495</v>
      </c>
      <c r="E34" s="9">
        <v>-7309</v>
      </c>
      <c r="F34" s="9">
        <v>-11085</v>
      </c>
      <c r="G34">
        <v>-10642</v>
      </c>
      <c r="H34"/>
      <c r="K34" s="9">
        <v>-3355</v>
      </c>
      <c r="L34" s="9">
        <v>-2363</v>
      </c>
      <c r="M34" s="9">
        <v>-2000</v>
      </c>
      <c r="N34" s="9">
        <v>-2777</v>
      </c>
      <c r="O34" s="9">
        <v>-2107</v>
      </c>
      <c r="P34" s="9">
        <v>-1853</v>
      </c>
      <c r="Q34" s="9">
        <v>-1565</v>
      </c>
      <c r="R34" s="9">
        <v>-1784</v>
      </c>
      <c r="S34" s="9">
        <v>-3500</v>
      </c>
      <c r="T34" s="9">
        <v>-2269</v>
      </c>
      <c r="U34" s="9">
        <v>-2093</v>
      </c>
      <c r="V34" s="9">
        <v>-3223</v>
      </c>
      <c r="W34" s="9">
        <v>-2803</v>
      </c>
      <c r="X34" s="9">
        <v>-2514</v>
      </c>
      <c r="Y34" s="9">
        <v>-2102</v>
      </c>
    </row>
    <row r="35" spans="1:40" x14ac:dyDescent="0.2">
      <c r="A35" t="s">
        <v>101</v>
      </c>
      <c r="B35">
        <v>-329</v>
      </c>
      <c r="C35">
        <v>-721</v>
      </c>
      <c r="D35">
        <v>-624</v>
      </c>
      <c r="E35">
        <v>-1524</v>
      </c>
      <c r="F35">
        <v>-33</v>
      </c>
      <c r="G35">
        <v>-189</v>
      </c>
      <c r="K35">
        <v>-167</v>
      </c>
      <c r="L35">
        <v>-124</v>
      </c>
      <c r="M35">
        <v>-320</v>
      </c>
      <c r="N35">
        <v>-13</v>
      </c>
      <c r="O35">
        <v>-958</v>
      </c>
      <c r="P35">
        <v>-176</v>
      </c>
      <c r="Q35">
        <v>-339</v>
      </c>
      <c r="R35">
        <v>-51</v>
      </c>
      <c r="S35">
        <v>-9</v>
      </c>
      <c r="T35">
        <v>0</v>
      </c>
      <c r="U35">
        <v>-4</v>
      </c>
      <c r="V35">
        <v>-20</v>
      </c>
      <c r="W35">
        <v>0</v>
      </c>
      <c r="X35">
        <v>-167</v>
      </c>
      <c r="Y35">
        <v>-2</v>
      </c>
    </row>
    <row r="36" spans="1:40" x14ac:dyDescent="0.2">
      <c r="A36" t="s">
        <v>97</v>
      </c>
      <c r="B36">
        <v>-33147</v>
      </c>
      <c r="C36">
        <v>32363</v>
      </c>
      <c r="D36">
        <v>57460</v>
      </c>
      <c r="E36">
        <v>5453</v>
      </c>
      <c r="F36">
        <v>-3075</v>
      </c>
      <c r="G36">
        <v>-8014</v>
      </c>
      <c r="K36">
        <v>9849</v>
      </c>
      <c r="L36">
        <v>15812</v>
      </c>
      <c r="M36">
        <v>28736</v>
      </c>
      <c r="N36">
        <v>3063</v>
      </c>
      <c r="O36">
        <v>-10396</v>
      </c>
      <c r="P36">
        <v>11407</v>
      </c>
      <c r="Q36">
        <v>-2992</v>
      </c>
      <c r="R36">
        <v>7434</v>
      </c>
      <c r="S36">
        <v>-5279</v>
      </c>
      <c r="T36">
        <v>-7895</v>
      </c>
      <c r="U36">
        <v>5747</v>
      </c>
      <c r="V36">
        <v>4352</v>
      </c>
      <c r="W36">
        <v>-12929</v>
      </c>
      <c r="X36">
        <v>-6390</v>
      </c>
      <c r="Y36">
        <v>6953</v>
      </c>
    </row>
    <row r="37" spans="1:40" s="9" customFormat="1" x14ac:dyDescent="0.2">
      <c r="A37" s="9" t="s">
        <v>102</v>
      </c>
      <c r="B37" s="9">
        <v>-519</v>
      </c>
      <c r="C37" s="9">
        <v>-2263</v>
      </c>
      <c r="D37" s="9">
        <v>-445</v>
      </c>
      <c r="E37" s="9">
        <v>-909</v>
      </c>
      <c r="F37" s="9">
        <v>-352</v>
      </c>
      <c r="G37">
        <v>-1457</v>
      </c>
      <c r="H37"/>
      <c r="K37" s="9">
        <v>-483</v>
      </c>
      <c r="L37" s="9">
        <v>23</v>
      </c>
      <c r="M37" s="9">
        <v>1086</v>
      </c>
      <c r="N37" s="9">
        <v>-1071</v>
      </c>
      <c r="O37" s="9">
        <v>-207</v>
      </c>
      <c r="P37" s="9">
        <v>-365</v>
      </c>
      <c r="Q37" s="9">
        <v>-269</v>
      </c>
      <c r="R37" s="9">
        <v>-68</v>
      </c>
      <c r="S37" s="9">
        <v>204</v>
      </c>
      <c r="T37" s="9">
        <v>-204</v>
      </c>
      <c r="U37" s="9">
        <v>-78</v>
      </c>
      <c r="V37" s="9">
        <v>-274</v>
      </c>
      <c r="W37" s="9">
        <v>-374</v>
      </c>
      <c r="X37" s="9">
        <v>-194</v>
      </c>
      <c r="Y37" s="9">
        <v>-615</v>
      </c>
    </row>
    <row r="38" spans="1:40" x14ac:dyDescent="0.2">
      <c r="A38" s="11" t="s">
        <v>89</v>
      </c>
      <c r="B38">
        <v>-9772</v>
      </c>
      <c r="C38">
        <v>-45962</v>
      </c>
      <c r="D38">
        <v>-10821</v>
      </c>
      <c r="E38">
        <v>-9895</v>
      </c>
      <c r="F38">
        <v>-19301</v>
      </c>
      <c r="G38">
        <v>-19342</v>
      </c>
      <c r="K38">
        <v>-3888</v>
      </c>
      <c r="L38">
        <v>-2409</v>
      </c>
      <c r="M38">
        <v>-1781</v>
      </c>
      <c r="N38">
        <v>-2743</v>
      </c>
      <c r="O38">
        <v>-4031</v>
      </c>
      <c r="P38">
        <v>-2188</v>
      </c>
      <c r="Q38">
        <v>-1051</v>
      </c>
      <c r="R38">
        <v>-2625</v>
      </c>
      <c r="S38">
        <v>-4882</v>
      </c>
      <c r="T38">
        <v>-4530</v>
      </c>
      <c r="U38">
        <v>-3155</v>
      </c>
      <c r="V38">
        <v>-6734</v>
      </c>
      <c r="W38">
        <v>-5929</v>
      </c>
      <c r="X38">
        <v>-4723</v>
      </c>
      <c r="Y38">
        <v>-1956</v>
      </c>
    </row>
    <row r="39" spans="1:40" s="10" customFormat="1" x14ac:dyDescent="0.2">
      <c r="A39" s="10" t="s">
        <v>90</v>
      </c>
      <c r="B39" s="10">
        <v>17152</v>
      </c>
      <c r="C39" s="10">
        <v>93500</v>
      </c>
      <c r="D39" s="10">
        <v>115287</v>
      </c>
      <c r="E39" s="10">
        <v>76385</v>
      </c>
      <c r="F39" s="10">
        <v>89493</v>
      </c>
      <c r="G39" s="10">
        <v>97922</v>
      </c>
      <c r="K39" s="10">
        <v>32534</v>
      </c>
      <c r="L39" s="10">
        <v>24503</v>
      </c>
      <c r="M39" s="10">
        <v>39138</v>
      </c>
      <c r="N39" s="10">
        <v>19112</v>
      </c>
      <c r="O39" s="10">
        <v>16848</v>
      </c>
      <c r="P39" s="10">
        <v>22324</v>
      </c>
      <c r="Q39" s="10">
        <v>11106</v>
      </c>
      <c r="R39" s="10">
        <v>26107</v>
      </c>
      <c r="S39" s="10">
        <v>30179</v>
      </c>
      <c r="T39" s="10">
        <v>13613</v>
      </c>
      <c r="U39" s="10">
        <v>24666</v>
      </c>
      <c r="V39" s="10">
        <v>21035</v>
      </c>
      <c r="W39" s="10">
        <v>30860</v>
      </c>
      <c r="X39" s="10">
        <v>18901</v>
      </c>
      <c r="Y39" s="10">
        <v>27126</v>
      </c>
    </row>
    <row r="40" spans="1:40" x14ac:dyDescent="0.2">
      <c r="A40" t="s">
        <v>91</v>
      </c>
      <c r="B40">
        <v>-12769</v>
      </c>
      <c r="C40">
        <v>-13712</v>
      </c>
      <c r="D40">
        <v>-14119</v>
      </c>
      <c r="E40">
        <v>-14081</v>
      </c>
      <c r="F40">
        <v>-14467</v>
      </c>
      <c r="G40">
        <v>-14778</v>
      </c>
      <c r="K40">
        <v>-3568</v>
      </c>
      <c r="L40">
        <v>-3443</v>
      </c>
      <c r="M40">
        <v>-3629</v>
      </c>
      <c r="N40">
        <v>-3479</v>
      </c>
      <c r="O40">
        <v>-3539</v>
      </c>
      <c r="P40">
        <v>-3375</v>
      </c>
      <c r="Q40">
        <v>-3656</v>
      </c>
      <c r="R40">
        <v>-3511</v>
      </c>
      <c r="S40">
        <v>-3613</v>
      </c>
      <c r="T40">
        <v>-3447</v>
      </c>
      <c r="U40">
        <v>-3767</v>
      </c>
      <c r="V40">
        <v>-3640</v>
      </c>
      <c r="W40">
        <v>-3732</v>
      </c>
      <c r="X40">
        <v>-3595</v>
      </c>
      <c r="Y40">
        <v>-3811</v>
      </c>
    </row>
    <row r="41" spans="1:40" x14ac:dyDescent="0.2">
      <c r="A41" t="s">
        <v>92</v>
      </c>
      <c r="B41">
        <v>-33592</v>
      </c>
      <c r="C41">
        <v>-74596</v>
      </c>
      <c r="D41">
        <v>-68933</v>
      </c>
      <c r="E41">
        <v>-75112</v>
      </c>
      <c r="F41">
        <v>-91422</v>
      </c>
      <c r="G41">
        <v>-90794</v>
      </c>
      <c r="K41">
        <v>-10114</v>
      </c>
      <c r="L41">
        <v>-23421</v>
      </c>
      <c r="M41">
        <v>-18153</v>
      </c>
      <c r="N41">
        <v>-17245</v>
      </c>
      <c r="O41">
        <v>-22083</v>
      </c>
      <c r="P41">
        <v>-15777</v>
      </c>
      <c r="Q41">
        <v>-14950</v>
      </c>
      <c r="R41">
        <v>-22302</v>
      </c>
      <c r="S41">
        <v>-27636</v>
      </c>
      <c r="T41">
        <v>-18286</v>
      </c>
      <c r="U41">
        <v>-25595</v>
      </c>
      <c r="V41">
        <v>-19905</v>
      </c>
      <c r="W41">
        <v>-23366</v>
      </c>
      <c r="X41">
        <v>-22961</v>
      </c>
      <c r="Y41">
        <v>-24562</v>
      </c>
    </row>
    <row r="42" spans="1:40" x14ac:dyDescent="0.2">
      <c r="A42" t="s">
        <v>93</v>
      </c>
      <c r="B42">
        <v>29014</v>
      </c>
      <c r="C42">
        <v>432</v>
      </c>
      <c r="D42">
        <v>-7819</v>
      </c>
      <c r="E42">
        <v>2499</v>
      </c>
      <c r="F42">
        <v>12665</v>
      </c>
      <c r="G42">
        <v>1440</v>
      </c>
      <c r="K42">
        <v>6</v>
      </c>
      <c r="L42">
        <v>-2506</v>
      </c>
      <c r="M42">
        <v>-5026</v>
      </c>
      <c r="N42">
        <v>-293</v>
      </c>
      <c r="O42">
        <v>231</v>
      </c>
      <c r="P42">
        <v>-1753</v>
      </c>
      <c r="Q42">
        <v>-441</v>
      </c>
      <c r="R42">
        <v>4462</v>
      </c>
      <c r="S42">
        <v>-978</v>
      </c>
      <c r="T42">
        <v>10423</v>
      </c>
      <c r="U42">
        <v>0</v>
      </c>
      <c r="V42">
        <v>3220</v>
      </c>
      <c r="W42">
        <v>-1000</v>
      </c>
      <c r="X42">
        <v>-1751</v>
      </c>
      <c r="Y42">
        <v>971</v>
      </c>
    </row>
    <row r="43" spans="1:40" s="9" customFormat="1" x14ac:dyDescent="0.2">
      <c r="A43" s="9" t="s">
        <v>114</v>
      </c>
      <c r="B43" s="9">
        <v>0</v>
      </c>
      <c r="C43" s="9">
        <v>0</v>
      </c>
      <c r="D43" s="9">
        <v>-105</v>
      </c>
      <c r="E43" s="9">
        <v>-126</v>
      </c>
      <c r="F43" s="9">
        <v>-129</v>
      </c>
      <c r="G43">
        <v>-205</v>
      </c>
      <c r="H43"/>
      <c r="K43" s="9">
        <v>0</v>
      </c>
      <c r="L43" s="9">
        <v>-87</v>
      </c>
      <c r="M43" s="9">
        <v>4</v>
      </c>
      <c r="N43" s="9">
        <v>-22</v>
      </c>
      <c r="O43" s="9">
        <v>-16</v>
      </c>
      <c r="P43" s="9">
        <v>-35</v>
      </c>
      <c r="Q43" s="9">
        <v>-69</v>
      </c>
      <c r="R43" s="9">
        <v>-6</v>
      </c>
      <c r="S43" s="9">
        <v>-22</v>
      </c>
      <c r="T43" s="9">
        <v>-16</v>
      </c>
      <c r="U43" s="9">
        <v>-34</v>
      </c>
      <c r="V43" s="9">
        <v>-57</v>
      </c>
      <c r="W43" s="9">
        <v>-61</v>
      </c>
      <c r="X43" s="9">
        <v>-44</v>
      </c>
      <c r="Y43" s="9">
        <v>-43</v>
      </c>
    </row>
    <row r="44" spans="1:40" s="10" customFormat="1" x14ac:dyDescent="0.2">
      <c r="A44" s="10" t="s">
        <v>94</v>
      </c>
      <c r="B44" s="10">
        <v>-195</v>
      </c>
      <c r="C44" s="10">
        <v>5624</v>
      </c>
      <c r="D44" s="10">
        <v>24311</v>
      </c>
      <c r="E44" s="10">
        <v>-10435</v>
      </c>
      <c r="F44" s="10">
        <v>-3860</v>
      </c>
      <c r="G44" s="10">
        <v>-6415</v>
      </c>
      <c r="K44" s="10">
        <v>18858</v>
      </c>
      <c r="L44" s="10">
        <v>-4954</v>
      </c>
      <c r="M44" s="10">
        <v>12334</v>
      </c>
      <c r="N44" s="10">
        <v>-1927</v>
      </c>
      <c r="O44" s="10">
        <v>-8559</v>
      </c>
      <c r="P44" s="10">
        <v>1384</v>
      </c>
      <c r="Q44" s="10">
        <v>-8010</v>
      </c>
      <c r="R44" s="10">
        <v>4750</v>
      </c>
      <c r="S44" s="10">
        <v>-2070</v>
      </c>
      <c r="T44" s="10">
        <v>2287</v>
      </c>
      <c r="U44" s="10">
        <v>-4730</v>
      </c>
      <c r="V44" s="10">
        <v>653</v>
      </c>
      <c r="W44" s="10">
        <v>2701</v>
      </c>
      <c r="X44" s="10">
        <v>-9450</v>
      </c>
      <c r="Y44" s="10">
        <v>-319</v>
      </c>
      <c r="AC44" s="10">
        <v>-5327</v>
      </c>
      <c r="AD44" s="10">
        <v>-1913</v>
      </c>
      <c r="AE44" s="10">
        <v>24770</v>
      </c>
      <c r="AF44" s="10">
        <v>11682</v>
      </c>
      <c r="AG44" s="10">
        <v>13904</v>
      </c>
      <c r="AH44" s="10">
        <v>26238</v>
      </c>
      <c r="AI44" s="10">
        <v>-7175</v>
      </c>
      <c r="AJ44" s="10">
        <v>-15185</v>
      </c>
      <c r="AK44" s="10">
        <v>217</v>
      </c>
      <c r="AL44" s="10">
        <v>-4513</v>
      </c>
      <c r="AM44" s="10">
        <v>-6749</v>
      </c>
      <c r="AN44" s="10">
        <v>-7068</v>
      </c>
    </row>
    <row r="50" spans="1:25" x14ac:dyDescent="0.2">
      <c r="A50" t="s">
        <v>112</v>
      </c>
      <c r="B50">
        <v>20289</v>
      </c>
      <c r="C50">
        <v>25913</v>
      </c>
      <c r="D50">
        <v>48844</v>
      </c>
      <c r="E50">
        <v>38016</v>
      </c>
      <c r="F50">
        <v>34940</v>
      </c>
      <c r="G50">
        <v>127659</v>
      </c>
      <c r="K50">
        <v>44771</v>
      </c>
      <c r="L50">
        <v>37988</v>
      </c>
      <c r="M50">
        <v>50530</v>
      </c>
      <c r="N50">
        <v>48844</v>
      </c>
      <c r="O50">
        <v>39771</v>
      </c>
      <c r="P50">
        <v>40174</v>
      </c>
      <c r="Q50">
        <v>33383</v>
      </c>
      <c r="R50">
        <v>38016</v>
      </c>
      <c r="S50">
        <v>36010</v>
      </c>
      <c r="T50">
        <v>38466</v>
      </c>
      <c r="U50">
        <v>34050</v>
      </c>
      <c r="V50">
        <v>34940</v>
      </c>
      <c r="W50">
        <v>37119</v>
      </c>
      <c r="X50">
        <v>28098</v>
      </c>
      <c r="Y50">
        <v>27502</v>
      </c>
    </row>
    <row r="51" spans="1:25" x14ac:dyDescent="0.2">
      <c r="A51" t="s">
        <v>113</v>
      </c>
      <c r="B51">
        <v>248606</v>
      </c>
      <c r="C51">
        <v>211187</v>
      </c>
      <c r="D51">
        <v>157054</v>
      </c>
      <c r="E51">
        <v>153814</v>
      </c>
      <c r="F51">
        <v>155576</v>
      </c>
      <c r="G51">
        <v>637491</v>
      </c>
      <c r="K51">
        <v>200264</v>
      </c>
      <c r="L51">
        <v>187423</v>
      </c>
      <c r="M51">
        <v>160080</v>
      </c>
      <c r="N51">
        <v>157054</v>
      </c>
      <c r="O51">
        <v>167290</v>
      </c>
      <c r="P51">
        <v>152670</v>
      </c>
      <c r="Q51">
        <v>160234</v>
      </c>
      <c r="R51">
        <v>153814</v>
      </c>
      <c r="S51">
        <v>159561</v>
      </c>
      <c r="T51">
        <v>165907</v>
      </c>
      <c r="U51">
        <v>159594</v>
      </c>
      <c r="V51">
        <v>155576</v>
      </c>
      <c r="W51">
        <v>165477</v>
      </c>
      <c r="X51">
        <v>164632</v>
      </c>
      <c r="Y51">
        <v>151806</v>
      </c>
    </row>
    <row r="53" spans="1:25" s="20" customFormat="1" x14ac:dyDescent="0.2">
      <c r="A53" s="19" t="s">
        <v>115</v>
      </c>
      <c r="B53" s="19" t="s">
        <v>136</v>
      </c>
      <c r="C53" s="19" t="s">
        <v>137</v>
      </c>
      <c r="D53" s="19" t="s">
        <v>138</v>
      </c>
      <c r="E53" s="19"/>
      <c r="G53"/>
      <c r="H53"/>
    </row>
    <row r="54" spans="1:25" s="20" customFormat="1" x14ac:dyDescent="0.2">
      <c r="A54" s="19" t="s">
        <v>116</v>
      </c>
      <c r="B54" s="23" t="s">
        <v>117</v>
      </c>
      <c r="C54" s="24">
        <v>1750</v>
      </c>
      <c r="D54" s="23" t="s">
        <v>118</v>
      </c>
      <c r="E54" s="19"/>
      <c r="G54"/>
      <c r="H54"/>
      <c r="K54" s="19"/>
      <c r="L54" s="19"/>
    </row>
    <row r="55" spans="1:25" s="20" customFormat="1" x14ac:dyDescent="0.2">
      <c r="A55" s="19" t="s">
        <v>119</v>
      </c>
      <c r="B55" s="23" t="s">
        <v>120</v>
      </c>
      <c r="C55" s="24">
        <v>95813</v>
      </c>
      <c r="D55" s="23" t="s">
        <v>121</v>
      </c>
      <c r="E55" s="19"/>
      <c r="G55"/>
      <c r="H55"/>
    </row>
    <row r="56" spans="1:25" s="20" customFormat="1" x14ac:dyDescent="0.2">
      <c r="A56" s="19"/>
      <c r="B56" s="23"/>
      <c r="C56" s="25"/>
      <c r="D56" s="23"/>
      <c r="E56" s="19"/>
      <c r="G56"/>
      <c r="H56"/>
    </row>
    <row r="57" spans="1:25" s="20" customFormat="1" x14ac:dyDescent="0.2">
      <c r="A57" s="19" t="s">
        <v>122</v>
      </c>
      <c r="B57" s="23"/>
      <c r="C57" s="25"/>
      <c r="D57" s="23"/>
      <c r="E57" s="19"/>
      <c r="G57"/>
      <c r="H57"/>
    </row>
    <row r="58" spans="1:25" s="20" customFormat="1" x14ac:dyDescent="0.2">
      <c r="A58" s="19" t="s">
        <v>123</v>
      </c>
      <c r="B58" s="23" t="s">
        <v>124</v>
      </c>
      <c r="C58" s="25">
        <v>14000</v>
      </c>
      <c r="D58" s="23" t="s">
        <v>125</v>
      </c>
      <c r="E58" s="19"/>
      <c r="G58"/>
      <c r="H58"/>
      <c r="K58" s="19"/>
    </row>
    <row r="59" spans="1:25" s="20" customFormat="1" x14ac:dyDescent="0.2">
      <c r="A59" s="19"/>
      <c r="B59" s="23"/>
      <c r="C59" s="25"/>
      <c r="D59" s="23"/>
      <c r="E59" s="19"/>
      <c r="G59"/>
      <c r="H59"/>
    </row>
    <row r="60" spans="1:25" s="20" customFormat="1" x14ac:dyDescent="0.2">
      <c r="A60" s="19" t="s">
        <v>126</v>
      </c>
      <c r="B60" s="23"/>
      <c r="C60" s="25"/>
      <c r="D60" s="23"/>
      <c r="E60" s="19"/>
      <c r="G60"/>
      <c r="H60"/>
    </row>
    <row r="61" spans="1:25" s="20" customFormat="1" x14ac:dyDescent="0.2">
      <c r="A61" s="19" t="s">
        <v>127</v>
      </c>
      <c r="B61" s="23" t="s">
        <v>128</v>
      </c>
      <c r="C61" s="25">
        <v>6500</v>
      </c>
      <c r="D61" s="23" t="s">
        <v>129</v>
      </c>
      <c r="E61" s="19"/>
      <c r="G61"/>
      <c r="H61"/>
      <c r="K61" s="19"/>
    </row>
    <row r="62" spans="1:25" s="20" customFormat="1" x14ac:dyDescent="0.2">
      <c r="A62" s="19" t="s">
        <v>130</v>
      </c>
      <c r="B62" s="23"/>
      <c r="C62" s="24">
        <f>SUM(C54:C61)</f>
        <v>118063</v>
      </c>
      <c r="D62" s="23"/>
      <c r="E62" s="19"/>
      <c r="G62"/>
      <c r="H62"/>
    </row>
    <row r="63" spans="1:25" s="20" customFormat="1" x14ac:dyDescent="0.2">
      <c r="A63" s="19"/>
      <c r="B63" s="23"/>
      <c r="C63" s="24"/>
      <c r="D63" s="23"/>
      <c r="E63" s="19"/>
      <c r="G63"/>
      <c r="H63"/>
    </row>
    <row r="64" spans="1:25" s="20" customFormat="1" x14ac:dyDescent="0.2">
      <c r="A64" s="19"/>
      <c r="B64" s="19"/>
      <c r="C64" s="19"/>
      <c r="G64"/>
      <c r="H64"/>
    </row>
    <row r="66" spans="1:25" x14ac:dyDescent="0.2">
      <c r="A66" t="s">
        <v>144</v>
      </c>
      <c r="B66">
        <v>5251692</v>
      </c>
      <c r="C66">
        <v>5000109</v>
      </c>
      <c r="D66">
        <v>4648913</v>
      </c>
      <c r="E66">
        <v>17528214</v>
      </c>
      <c r="F66">
        <v>16864919</v>
      </c>
      <c r="G66">
        <v>16262203</v>
      </c>
      <c r="K66">
        <v>4773252</v>
      </c>
      <c r="L66">
        <v>4700646</v>
      </c>
      <c r="M66">
        <v>4601380</v>
      </c>
      <c r="N66">
        <v>4648913</v>
      </c>
      <c r="O66">
        <v>4454604</v>
      </c>
      <c r="P66">
        <v>4404691</v>
      </c>
      <c r="Q66">
        <v>4354788</v>
      </c>
      <c r="R66">
        <v>17528214</v>
      </c>
      <c r="S66">
        <v>17113688</v>
      </c>
      <c r="T66">
        <v>16929157</v>
      </c>
      <c r="U66">
        <v>16781735</v>
      </c>
      <c r="V66">
        <v>16864919</v>
      </c>
      <c r="W66">
        <v>16519291</v>
      </c>
      <c r="X66">
        <v>16403316</v>
      </c>
      <c r="Y66">
        <v>16262203</v>
      </c>
    </row>
    <row r="67" spans="1:25" s="29" customFormat="1" x14ac:dyDescent="0.2">
      <c r="A67" s="29" t="s">
        <v>145</v>
      </c>
      <c r="B67" s="29">
        <v>37.637500762939453</v>
      </c>
      <c r="C67" s="29">
        <v>55.197498321533203</v>
      </c>
      <c r="D67" s="29">
        <v>54.419998168945312</v>
      </c>
      <c r="E67" s="29">
        <v>108.2200012207031</v>
      </c>
      <c r="F67" s="29">
        <v>146.91999816894531</v>
      </c>
      <c r="G67" s="29">
        <v>141.6600036621094</v>
      </c>
      <c r="K67" s="29">
        <v>55.197498321533203</v>
      </c>
      <c r="L67" s="29">
        <v>72.477500915527344</v>
      </c>
      <c r="M67" s="29">
        <v>47.185001373291023</v>
      </c>
      <c r="N67" s="29">
        <v>49.645000457763672</v>
      </c>
      <c r="O67" s="29">
        <v>54.419998168945312</v>
      </c>
      <c r="P67" s="29">
        <v>136.69000244140619</v>
      </c>
      <c r="Q67" s="29">
        <v>61.380001068115227</v>
      </c>
      <c r="R67" s="29">
        <v>90.014999389648438</v>
      </c>
      <c r="S67" s="29">
        <v>108.2200012207031</v>
      </c>
      <c r="T67" s="29">
        <v>180.33000183105469</v>
      </c>
      <c r="U67" s="29">
        <v>120.5899963378906</v>
      </c>
      <c r="V67" s="29">
        <v>133.4100036621094</v>
      </c>
      <c r="W67" s="29">
        <v>146.91999816894531</v>
      </c>
      <c r="X67" s="29">
        <v>174.7200012207031</v>
      </c>
      <c r="Y67" s="29">
        <v>141.6600036621094</v>
      </c>
    </row>
    <row r="69" spans="1:25" s="27" customFormat="1" x14ac:dyDescent="0.2">
      <c r="A69" s="27" t="s">
        <v>142</v>
      </c>
      <c r="B69" s="27">
        <v>83414</v>
      </c>
      <c r="C69" s="27">
        <v>76606</v>
      </c>
      <c r="D69" s="27">
        <v>53223</v>
      </c>
      <c r="E69" s="27">
        <v>69424</v>
      </c>
      <c r="F69" s="27">
        <v>83779</v>
      </c>
      <c r="G69" s="27">
        <v>81207</v>
      </c>
      <c r="K69" s="27">
        <v>57990</v>
      </c>
      <c r="L69" s="27">
        <v>62718</v>
      </c>
      <c r="M69" s="27">
        <v>47935</v>
      </c>
      <c r="N69" s="27">
        <v>53223</v>
      </c>
      <c r="O69" s="27">
        <v>63531</v>
      </c>
      <c r="P69" s="27">
        <v>59304</v>
      </c>
      <c r="Q69" s="27">
        <v>68174</v>
      </c>
      <c r="R69" s="27">
        <v>69424</v>
      </c>
      <c r="S69" s="27">
        <v>71033</v>
      </c>
      <c r="T69" s="27">
        <v>78179</v>
      </c>
      <c r="U69" s="27">
        <v>79741</v>
      </c>
      <c r="V69" s="27">
        <v>83779</v>
      </c>
      <c r="W69" s="27">
        <v>80679</v>
      </c>
      <c r="X69" s="27">
        <v>84884</v>
      </c>
      <c r="Y69" s="27">
        <v>81207</v>
      </c>
    </row>
    <row r="70" spans="1:25" x14ac:dyDescent="0.2">
      <c r="A70" s="28" t="s">
        <v>146</v>
      </c>
      <c r="B70">
        <v>197660561.65672302</v>
      </c>
      <c r="C70">
        <v>275993508.13498306</v>
      </c>
      <c r="D70">
        <v>252993836.94758606</v>
      </c>
      <c r="E70">
        <v>1896903340.4767451</v>
      </c>
      <c r="F70">
        <v>2477793868.599411</v>
      </c>
      <c r="G70">
        <v>2303703736.5339665</v>
      </c>
      <c r="K70">
        <v>263471569.258255</v>
      </c>
      <c r="L70">
        <v>340691074.76856995</v>
      </c>
      <c r="M70">
        <v>217116121.61903384</v>
      </c>
      <c r="N70">
        <v>230795288.01310349</v>
      </c>
      <c r="O70">
        <v>242419541.52337646</v>
      </c>
      <c r="P70">
        <v>602077223.5436399</v>
      </c>
      <c r="Q70">
        <v>267296892.09141538</v>
      </c>
      <c r="R70">
        <v>1577802172.5116272</v>
      </c>
      <c r="S70">
        <v>1852043336.2507319</v>
      </c>
      <c r="T70">
        <v>3052834912.8082123</v>
      </c>
      <c r="U70">
        <v>2023709362.1934505</v>
      </c>
      <c r="V70">
        <v>2249948905.5511785</v>
      </c>
      <c r="W70">
        <v>2427014203.4722748</v>
      </c>
      <c r="X70">
        <v>2865987391.5435786</v>
      </c>
      <c r="Y70">
        <v>2303703736.5339665</v>
      </c>
    </row>
    <row r="71" spans="1:25" x14ac:dyDescent="0.2">
      <c r="A71" t="s">
        <v>143</v>
      </c>
      <c r="B71">
        <v>197743975.65672302</v>
      </c>
      <c r="C71">
        <v>276070114.13498306</v>
      </c>
      <c r="D71">
        <v>253047059.94758606</v>
      </c>
      <c r="E71">
        <v>1896972764.4767451</v>
      </c>
      <c r="F71">
        <v>2477877647.599411</v>
      </c>
      <c r="G71">
        <v>2303784943.5339665</v>
      </c>
      <c r="K71">
        <v>263529559.258255</v>
      </c>
      <c r="L71">
        <v>340753792.76856995</v>
      </c>
      <c r="M71">
        <v>217164056.61903384</v>
      </c>
      <c r="N71">
        <v>230848511.01310349</v>
      </c>
      <c r="O71">
        <v>242483072.52337646</v>
      </c>
      <c r="P71">
        <v>602136527.5436399</v>
      </c>
      <c r="Q71">
        <v>267365066.09141538</v>
      </c>
      <c r="R71">
        <v>1577871596.5116272</v>
      </c>
      <c r="S71">
        <v>1852114369.2507319</v>
      </c>
      <c r="T71">
        <v>3052913091.8082123</v>
      </c>
      <c r="U71">
        <v>2023789103.1934505</v>
      </c>
      <c r="V71">
        <v>2250032684.5511785</v>
      </c>
      <c r="W71">
        <v>2427094882.4722748</v>
      </c>
      <c r="X71">
        <v>2866072275.5435786</v>
      </c>
      <c r="Y71">
        <v>2303784943.5339665</v>
      </c>
    </row>
    <row r="73" spans="1:25" x14ac:dyDescent="0.2">
      <c r="A73" t="s">
        <v>147</v>
      </c>
      <c r="B73" s="36">
        <f>B69/B71</f>
        <v>4.218282742772601E-4</v>
      </c>
      <c r="C73" s="36">
        <f t="shared" ref="C73:Y73" si="0">C69/C71</f>
        <v>2.7748747900522072E-4</v>
      </c>
      <c r="D73" s="36">
        <f t="shared" si="0"/>
        <v>2.1032846621898767E-4</v>
      </c>
      <c r="E73" s="36">
        <f t="shared" si="0"/>
        <v>3.6597257114099734E-5</v>
      </c>
      <c r="F73" s="36">
        <f t="shared" si="0"/>
        <v>3.3810789681712419E-5</v>
      </c>
      <c r="G73" s="36">
        <f t="shared" si="0"/>
        <v>3.5249383944418814E-5</v>
      </c>
      <c r="H73" s="36"/>
      <c r="I73" s="36"/>
      <c r="J73" s="36"/>
      <c r="K73" s="36">
        <f t="shared" si="0"/>
        <v>2.2005121612627399E-4</v>
      </c>
      <c r="L73" s="36">
        <f t="shared" si="0"/>
        <v>1.8405664538735227E-4</v>
      </c>
      <c r="M73" s="36">
        <f t="shared" si="0"/>
        <v>2.2073173961790243E-4</v>
      </c>
      <c r="N73" s="36">
        <f t="shared" si="0"/>
        <v>2.3055379376901825E-4</v>
      </c>
      <c r="O73" s="36">
        <f t="shared" si="0"/>
        <v>2.6200179393501922E-4</v>
      </c>
      <c r="P73" s="36">
        <f t="shared" si="0"/>
        <v>9.8489291526500082E-5</v>
      </c>
      <c r="Q73" s="36">
        <f t="shared" si="0"/>
        <v>2.5498469563219034E-4</v>
      </c>
      <c r="R73" s="36">
        <f t="shared" si="0"/>
        <v>4.3998510495710301E-5</v>
      </c>
      <c r="S73" s="36">
        <f t="shared" si="0"/>
        <v>3.835238318934711E-5</v>
      </c>
      <c r="T73" s="36">
        <f t="shared" si="0"/>
        <v>2.5608000506065929E-5</v>
      </c>
      <c r="U73" s="36">
        <f t="shared" si="0"/>
        <v>3.9401832865970172E-5</v>
      </c>
      <c r="V73" s="36">
        <f t="shared" si="0"/>
        <v>3.7234570224348394E-5</v>
      </c>
      <c r="W73" s="36">
        <f t="shared" si="0"/>
        <v>3.3240974871909076E-5</v>
      </c>
      <c r="X73" s="36">
        <f t="shared" si="0"/>
        <v>2.9616838599752661E-5</v>
      </c>
      <c r="Y73" s="36">
        <f t="shared" si="0"/>
        <v>3.5249383944418814E-5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Data</vt:lpstr>
      <vt:lpstr>model</vt:lpstr>
      <vt:lpstr>capital</vt:lpstr>
      <vt:lpstr>reorganize balance</vt:lpstr>
      <vt:lpstr>financing</vt:lpstr>
      <vt:lpstr>investing</vt:lpstr>
      <vt:lpstr>cashflow from operating</vt:lpstr>
      <vt:lpstr>income</vt:lpstr>
      <vt:lpstr>cashflow</vt:lpstr>
      <vt:lpstr>balance</vt:lpstr>
      <vt:lpstr>reconcile balance and cash(bad)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2022-08-01T11:16:54Z</dcterms:created>
  <dcterms:modified xsi:type="dcterms:W3CDTF">2022-08-11T14:04:21Z</dcterms:modified>
</cp:coreProperties>
</file>