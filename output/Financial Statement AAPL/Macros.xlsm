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juliasusser/Desktop/Financial-Statements /output/Financial Statement AAPL/"/>
    </mc:Choice>
  </mc:AlternateContent>
  <xr:revisionPtr revIDLastSave="0" documentId="13_ncr:1_{E108027E-BA50-3547-9CAE-BE4A54AC8313}" xr6:coauthVersionLast="47" xr6:coauthVersionMax="47" xr10:uidLastSave="{00000000-0000-0000-0000-000000000000}"/>
  <bookViews>
    <workbookView xWindow="760" yWindow="960" windowWidth="28040" windowHeight="15320" xr2:uid="{95102026-D7B2-FC4C-9C79-D918F2E9670F}"/>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5" i="1" l="1" a="1"/>
  <c r="I5" i="1"/>
  <c r="I2" i="1" a="1"/>
  <c r="I2"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6"/>
        </ext>
      </extLst>
    </bk>
    <bk>
      <extLst>
        <ext uri="{3e2802c4-a4d2-4d8b-9148-e3be6c30e623}">
          <xlrd:rvb i="7"/>
        </ext>
      </extLst>
    </bk>
    <bk>
      <extLst>
        <ext uri="{3e2802c4-a4d2-4d8b-9148-e3be6c30e623}">
          <xlrd:rvb i="8"/>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<sst xmlns="http://schemas.openxmlformats.org/spreadsheetml/2006/main" count="4" uniqueCount="4">
  <si>
    <t>Q1 2020</t>
  </si>
  <si>
    <t>Q2 2019</t>
  </si>
  <si>
    <t>Q3 2019</t>
  </si>
  <si>
    <t>Year Ended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</si>
</sst>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09]* #,##0.00_);_([$$-409]* \(#,##0.00\);_([$$-409]* &quot;-&quot;??_);_(@_)"/>
  </numFmts>
  <fonts count="2" x14ac:knownFonts="1">
    <font>
      <sz val="12"/>
      <color theme="1"/>
      <name val="Calibri"/>
      <family val="2"/>
      <scheme val="minor"/>
    </font>
    <font>
      <u/>
      <sz val="12"/>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3">
    <xf numFmtId="0" fontId="0" fillId="0" borderId="0" xfId="0"/>
    <xf numFmtId="164" fontId="0" fillId="0" borderId="0" xfId="0" applyNumberFormat="1"/>
    <xf numFmtId="0" fontId="1" fillId="0" borderId="0" xfId="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Array" Target="richData/rdarray.xml"/><Relationship Id="rId13" Type="http://schemas.openxmlformats.org/officeDocument/2006/relationships/calcChain" Target="calcChain.xml"/><Relationship Id="rId3" Type="http://schemas.openxmlformats.org/officeDocument/2006/relationships/styles" Target="styles.xml"/><Relationship Id="rId7" Type="http://schemas.microsoft.com/office/2017/06/relationships/rdRichValueStructure" Target="richData/rdrichvaluestructure.xml"/><Relationship Id="rId12" Type="http://schemas.microsoft.com/office/2017/06/relationships/rdRichValueTypes" Target="richData/rdRichValueTyp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SupportingPropertyBag" Target="richData/rdsupportingpropertybag.xml"/><Relationship Id="rId5" Type="http://schemas.openxmlformats.org/officeDocument/2006/relationships/sheetMetadata" Target="metadata.xml"/><Relationship Id="rId10" Type="http://schemas.microsoft.com/office/2017/06/relationships/rdSupportingPropertyBagStructure" Target="richData/rdsupportingpropertybagstructure.xml"/><Relationship Id="rId4" Type="http://schemas.openxmlformats.org/officeDocument/2006/relationships/sharedStrings" Target="sharedStrings.xml"/><Relationship Id="rId9" Type="http://schemas.microsoft.com/office/2017/06/relationships/richStyles" Target="richData/richStyles.xml"/><Relationship Id="rId14" Type="http://schemas.microsoft.com/office/2006/relationships/vbaProject" Target="vbaProject.bin"/></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2">
  <a r="1">
    <v t="i">0</v>
  </a>
  <a r="1">
    <v>334.75</v>
  </a>
</arrayData>
</file>

<file path=xl/richData/rdrichvalue.xml><?xml version="1.0" encoding="utf-8"?>
<rvData xmlns="http://schemas.microsoft.com/office/spreadsheetml/2017/richdata" count="10">
  <rv s="0">
    <v>http://en.wikipedia.org/wiki/Public_domain</v>
    <v>Public domain</v>
  </rv>
  <rv s="0">
    <v>https://en.wikipedia.org/wiki/Microsoft</v>
    <v>Wikipedia</v>
  </rv>
  <rv s="1">
    <v>0</v>
    <v>1</v>
  </rv>
  <rv s="2">
    <v>6</v>
    <v>https://www.bing.com/th?id=AMMS_e6e837c7bf3a77408619758b7447855a&amp;qlt=95</v>
    <v>2</v>
    <v>0</v>
    <v>https://www.bing.com/images/search?form=xlimg&amp;q=microsoft</v>
    <v>Image of MICROSOFT CORPORATION</v>
  </rv>
  <rv s="0">
    <v>https://www.bing.com/financeapi/forcetrigger?t=a1xzim&amp;q=XNAS%3aMSFT&amp;form=skydnc</v>
    <v>Learn more on Bing</v>
  </rv>
  <rv s="3">
    <v>0</v>
    <v>MICROSOFT CORPORATION (XNAS:MSFT)</v>
    <v>3</v>
    <v>4</v>
    <v>Finance</v>
    <v>5</v>
    <v>en-US</v>
    <v>a1xzim</v>
    <v>268435456</v>
    <v>1</v>
    <v>Powered by Refinitiv</v>
    <v>349.67</v>
    <v>241.51</v>
    <v>0.92610000000000003</v>
    <v>4.8899999999999997</v>
    <v>1.7037E-2</v>
    <v>0.14000000000000001</v>
    <v>4.796E-4</v>
    <v>USD</v>
    <v>Microsoft Corporation is a technology company. The Company develops and supports software, services, devices, and solutions. Its segments include Productivity and Business Processes, Intelligent Cloud, and More Personal Computing. The Productivity and Business Processes segment consists of products and services in its portfolio of productivity, communication, and information services, spanning a variety of devices and platforms. This segment includes Office Consumer, LinkedIn, dynamics business solutions, and Office Commercial. The Intelligent Cloud segment consists of public, private, and hybrid server products and cloud services that can power modern businesses and developers. This segment includes server products and cloud services, and enterprise services. The More Personal Computing segment consists of products and services that put customers at the centre of the experience with its technology. This segment includes Windows, devices, gaming, and search and news advertising.</v>
    <v>221000</v>
    <v>Nasdaq Stock Market</v>
    <v>XNAS</v>
    <v>XNAS</v>
    <v>One Microsoft Way, REDMOND, WA, 98052-6399 US</v>
    <v>291.91000000000003</v>
    <v>3</v>
    <v>Software &amp; IT Services</v>
    <v>Stock</v>
    <v>44785.999971238278</v>
    <v>4</v>
    <v>286.94</v>
    <v>2177033000000</v>
    <v>MICROSOFT CORPORATION</v>
    <v>MICROSOFT CORPORATION</v>
    <v>288.48</v>
    <v>29.7593</v>
    <v>287.02</v>
    <v>291.91000000000003</v>
    <v>292.05</v>
    <v>7457892000</v>
    <v>MSFT</v>
    <v>MICROSOFT CORPORATION (XNAS:MSFT)</v>
    <v>22619675</v>
    <v>25363811</v>
    <v>1993</v>
  </rv>
  <rv s="4">
    <v>5</v>
  </rv>
  <rv s="5">
    <fb>44564</fb>
    <v>7</v>
  </rv>
  <rv s="5">
    <fb>334.75</fb>
    <v>8</v>
  </rv>
  <rv s="6">
    <v>9</v>
    <v>a1xzim</v>
    <v>Daily</v>
    <v>44564</v>
    <v>44564</v>
    <v>0</v>
    <v>1</v>
    <v>637767648000000000,637960983963689418,0</v>
    <v>0</v>
    <v>a1xzim</v>
    <v>XNAS:MSFT</v>
    <v>1</v>
  </rv>
</rvData>
</file>

<file path=xl/richData/rdrichvaluestructure.xml><?xml version="1.0" encoding="utf-8"?>
<rvStructures xmlns="http://schemas.microsoft.com/office/spreadsheetml/2017/richdata" count="7">
  <s t="_hyperlink">
    <k n="Address" t="s"/>
    <k n="Text" t="s"/>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1">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0">
    <spb s="0">
      <v>0</v>
      <v>Name</v>
      <v>LearnMoreOnLink</v>
    </spb>
    <spb s="1">
      <v>0</v>
      <v>0</v>
    </spb>
    <spb s="2">
      <v>0</v>
      <v>0</v>
      <v>0</v>
    </spb>
    <spb s="3">
      <v>1</v>
      <v>2</v>
      <v>2</v>
      <v>2</v>
      <v>2</v>
    </spb>
    <spb s="4">
      <v>1</v>
      <v>2</v>
      <v>2</v>
      <v>1</v>
      <v>3</v>
      <v>1</v>
      <v>4</v>
      <v>1</v>
      <v>1</v>
      <v>5</v>
      <v>5</v>
      <v>6</v>
      <v>7</v>
      <v>1</v>
      <v>1</v>
      <v>1</v>
      <v>5</v>
      <v>8</v>
      <v>9</v>
      <v>10</v>
      <v>5</v>
      <v>1</v>
      <v>1</v>
      <v>6</v>
    </spb>
    <spb s="5">
      <v>at close</v>
      <v>from previous close</v>
      <v>from previous close</v>
      <v>Source: Nasdaq</v>
      <v>GMT</v>
      <v>Delayed 15 minutes</v>
      <v>from close</v>
      <v>from close</v>
    </spb>
    <spb s="6">
      <v>Powered by Refinitiv</v>
    </spb>
    <spb s="7">
      <v>11</v>
    </spb>
    <spb s="7">
      <v>1</v>
    </spb>
    <spb s="8">
      <v>11</v>
      <v>1</v>
    </spb>
  </spbData>
</supportingPropertyBags>
</file>

<file path=xl/richData/rdsupportingpropertybagstructure.xml><?xml version="1.0" encoding="utf-8"?>
<spbStructures xmlns="http://schemas.microsoft.com/office/spreadsheetml/2017/richdata2" count="9">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 h:mm"/>
    </x:dxf>
    <x:dxf>
      <x:numFmt numFmtId="14" formatCode="0.00%"/>
    </x:dxf>
    <x:dxf>
      <x:numFmt numFmtId="3" formatCode="#,##0"/>
    </x:dxf>
    <x:dxf>
      <x:numFmt numFmtId="4" formatCode="#,##0.00"/>
    </x:dxf>
    <x:dxf>
      <x:numFmt numFmtId="1" formatCode="0"/>
    </x:dxf>
    <x:dxf>
      <x:numFmt numFmtId="19" formatCode="m/d/yy"/>
    </x:dxf>
  </dxfs>
  <richProperties>
    <rPr n="NumberFormat" t="s"/>
    <rPr n="IsTitleField" t="b"/>
    <rPr n="IsHeroField" t="b"/>
  </richProperties>
  <richStyles>
    <rSty dxfid="1">
      <rpv i="0">_([$$-en-US]* #,##0.00_);_([$$-en-US]* (#,##0.00);_([$$-en-US]* "-"??_);_(@_)</rpv>
    </rSty>
    <rSty dxfid="5">
      <rpv i="0">#,##0.00</rpv>
    </rSty>
    <rSty>
      <rpv i="1">1</rpv>
    </rSty>
    <rSty>
      <rpv i="2">1</rpv>
    </rSty>
    <rSty dxfid="4">
      <rpv i="0">#,##0</rpv>
    </rSty>
    <rSty dxfid="3"/>
    <rSty dxfid="1">
      <rpv i="0">_([$$-en-US]* #,##0_);_([$$-en-US]* (#,##0);_([$$-en-US]* "-"_);_(@_)</rpv>
    </rSty>
    <rSty dxfid="2"/>
    <rSty dxfid="6">
      <rpv i="0">0</rpv>
    </rSty>
    <rSty dxfid="0">
      <rpv i="0">0.00</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2BA35-649F-D045-BD79-FEAE89DA58D8}">
  <sheetPr codeName="Sheet1"/>
  <dimension ref="A1:J6"/>
  <sheetViews>
    <sheetView tabSelected="1" workbookViewId="0">
      <selection activeCell="G9" sqref="G9"/>
    </sheetView>
  </sheetViews>
  <sheetFormatPr baseColWidth="10" defaultRowHeight="16" x14ac:dyDescent="0.2"/>
  <sheetData>
    <row r="1" spans="1:10" x14ac:dyDescent="0.2">
      <c r="A1" t="s">
        <v>3</v>
      </c>
      <c r="B1" t="s">
        <v>1</v>
      </c>
      <c r="C1" t="s">
        <v>2</v>
      </c>
      <c r="D1" t="s">
        <v>0</v>
      </c>
    </row>
    <row r="2" spans="1:10" x14ac:dyDescent="0.2">
      <c r="A2">
        <v>2</v>
      </c>
      <c r="B2">
        <v>3</v>
      </c>
      <c r="C2">
        <v>2</v>
      </c>
      <c r="D2">
        <v>1</v>
      </c>
      <c r="H2" t="e" vm="1">
        <v>#VALUE!</v>
      </c>
      <c r="I2" s="1" cm="1">
        <f t="array" ref="I2">_FV(H2,"Change (Extended hours)",TRUE)</f>
        <v>0.14000000000000001</v>
      </c>
    </row>
    <row r="3" spans="1:10" x14ac:dyDescent="0.2">
      <c r="A3">
        <v>3</v>
      </c>
      <c r="B3">
        <v>4</v>
      </c>
      <c r="C3">
        <v>3</v>
      </c>
      <c r="D3">
        <v>2</v>
      </c>
    </row>
    <row r="4" spans="1:10" x14ac:dyDescent="0.2">
      <c r="A4">
        <v>4</v>
      </c>
      <c r="B4">
        <v>5</v>
      </c>
      <c r="C4">
        <v>4</v>
      </c>
      <c r="D4">
        <v>3</v>
      </c>
      <c r="I4" s="2"/>
    </row>
    <row r="5" spans="1:10" x14ac:dyDescent="0.2">
      <c r="A5">
        <v>5</v>
      </c>
      <c r="C5">
        <v>5</v>
      </c>
      <c r="I5" t="str" cm="1">
        <f t="array" aca="1" ref="I5:J6" ca="1">_xlfn.STOCKHISTORY(H2,DATE(2022,1,3))</f>
        <v>Date</v>
      </c>
      <c r="J5" t="str">
        <f ca="1"/>
        <v>Close</v>
      </c>
    </row>
    <row r="6" spans="1:10" x14ac:dyDescent="0.2">
      <c r="I6" vm="2">
        <f ca="1"/>
        <v>44564</v>
      </c>
      <c r="J6" vm="3">
        <f ca="1"/>
        <v>334.75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2022-08-11T15:27:23Z</dcterms:created>
  <dcterms:modified xsi:type="dcterms:W3CDTF">2022-08-14T18:29:09Z</dcterms:modified>
</cp:coreProperties>
</file>